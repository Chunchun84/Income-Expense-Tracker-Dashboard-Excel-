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ml.chartshapes+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Vedakarna\New folder\"/>
    </mc:Choice>
  </mc:AlternateContent>
  <xr:revisionPtr revIDLastSave="0" documentId="8_{62A35B6D-49CB-48BA-81C5-1F48285EAAD8}" xr6:coauthVersionLast="47" xr6:coauthVersionMax="47" xr10:uidLastSave="{00000000-0000-0000-0000-000000000000}"/>
  <bookViews>
    <workbookView xWindow="-108" yWindow="-108" windowWidth="23256" windowHeight="12456" activeTab="1" xr2:uid="{4D0E0657-BA6B-46BF-BB96-733A1737CF03}"/>
  </bookViews>
  <sheets>
    <sheet name="Pivot" sheetId="2" r:id="rId1"/>
    <sheet name="Dashboard" sheetId="3" r:id="rId2"/>
    <sheet name="Data" sheetId="1" r:id="rId3"/>
  </sheets>
  <definedNames>
    <definedName name="Slicer_Month">#N/A</definedName>
  </definedNames>
  <calcPr calcId="191028"/>
  <pivotCaches>
    <pivotCache cacheId="1"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G4" i="2" l="1"/>
  <c r="G3" i="2" s="1"/>
  <c r="C25" i="3"/>
  <c r="C24" i="3"/>
  <c r="C23" i="3"/>
  <c r="C22" i="3"/>
  <c r="C21" i="3"/>
  <c r="C20" i="3"/>
  <c r="C19" i="3"/>
  <c r="C18" i="3"/>
  <c r="C12" i="3"/>
  <c r="C11" i="3"/>
  <c r="C10" i="3"/>
  <c r="C9" i="3"/>
  <c r="C8" i="3"/>
  <c r="C7" i="3"/>
  <c r="C6" i="3"/>
  <c r="C5" i="3"/>
  <c r="I3" i="2" l="1"/>
  <c r="H3" i="2"/>
</calcChain>
</file>

<file path=xl/sharedStrings.xml><?xml version="1.0" encoding="utf-8"?>
<sst xmlns="http://schemas.openxmlformats.org/spreadsheetml/2006/main" count="2501" uniqueCount="421">
  <si>
    <t>Date</t>
  </si>
  <si>
    <t>Month</t>
  </si>
  <si>
    <t>Category</t>
  </si>
  <si>
    <t>Expenses Category</t>
  </si>
  <si>
    <t>Description</t>
  </si>
  <si>
    <t>Amount</t>
  </si>
  <si>
    <t>Jan</t>
  </si>
  <si>
    <t>Expenses</t>
  </si>
  <si>
    <t>Travel</t>
  </si>
  <si>
    <t>Delhi To Goa</t>
  </si>
  <si>
    <t>Dining</t>
  </si>
  <si>
    <t>Pizza, Pasta and Dinner at xyz</t>
  </si>
  <si>
    <t>Education</t>
  </si>
  <si>
    <t>Kids Tuition Fee</t>
  </si>
  <si>
    <t>Rent</t>
  </si>
  <si>
    <t>House Rent Paid</t>
  </si>
  <si>
    <t>Health care</t>
  </si>
  <si>
    <t>Medicine of Parents</t>
  </si>
  <si>
    <t>Bills</t>
  </si>
  <si>
    <t>Electricity</t>
  </si>
  <si>
    <t>Kids School Fee</t>
  </si>
  <si>
    <t>Kids Stationary</t>
  </si>
  <si>
    <t>Shopping</t>
  </si>
  <si>
    <t>Mouse and Keyboard</t>
  </si>
  <si>
    <t>Water Bill</t>
  </si>
  <si>
    <t>Lunch With Family at xyz</t>
  </si>
  <si>
    <t>Shop 1 Rent Paid</t>
  </si>
  <si>
    <t>Breakfast</t>
  </si>
  <si>
    <t>Dinner at Xyz Hotel</t>
  </si>
  <si>
    <t>Airpods</t>
  </si>
  <si>
    <t>Birthday Celebration</t>
  </si>
  <si>
    <t>Kids Books and Pens</t>
  </si>
  <si>
    <t>Shop 2 Rent Paid</t>
  </si>
  <si>
    <t>Family Checkup</t>
  </si>
  <si>
    <t>Transport</t>
  </si>
  <si>
    <t>Delhi to Faridabad</t>
  </si>
  <si>
    <t>Faridabad to Delhi</t>
  </si>
  <si>
    <t>Dress</t>
  </si>
  <si>
    <t>Feb</t>
  </si>
  <si>
    <t>General Shopping</t>
  </si>
  <si>
    <t>09/02/2026</t>
  </si>
  <si>
    <t>City Travel</t>
  </si>
  <si>
    <t>22/02/2026</t>
  </si>
  <si>
    <t>Utilities</t>
  </si>
  <si>
    <t>20/02/2026</t>
  </si>
  <si>
    <t>Restaurant</t>
  </si>
  <si>
    <t>03/02/2026</t>
  </si>
  <si>
    <t>Medical Expense</t>
  </si>
  <si>
    <t>04/02/2026</t>
  </si>
  <si>
    <t>24/02/2026</t>
  </si>
  <si>
    <t>House Rent</t>
  </si>
  <si>
    <t>28/02/2026</t>
  </si>
  <si>
    <t>26/02/2026</t>
  </si>
  <si>
    <t>07/03/2026</t>
  </si>
  <si>
    <t>Mar</t>
  </si>
  <si>
    <t>School Fee</t>
  </si>
  <si>
    <t>17/03/2026</t>
  </si>
  <si>
    <t>23/03/2026</t>
  </si>
  <si>
    <t>06/03/2026</t>
  </si>
  <si>
    <t>11/03/2026</t>
  </si>
  <si>
    <t>13/03/2026</t>
  </si>
  <si>
    <t>28/03/2026</t>
  </si>
  <si>
    <t>26/04/2026</t>
  </si>
  <si>
    <t>Apr</t>
  </si>
  <si>
    <t>16/04/2026</t>
  </si>
  <si>
    <t>22/04/2026</t>
  </si>
  <si>
    <t>03/04/2026</t>
  </si>
  <si>
    <t>24/04/2026</t>
  </si>
  <si>
    <t>09/04/2026</t>
  </si>
  <si>
    <t>20/04/2026</t>
  </si>
  <si>
    <t>08/04/2026</t>
  </si>
  <si>
    <t>Local Travel</t>
  </si>
  <si>
    <t>10/05/2026</t>
  </si>
  <si>
    <t>May</t>
  </si>
  <si>
    <t>24/05/2026</t>
  </si>
  <si>
    <t>02/05/2026</t>
  </si>
  <si>
    <t>19/05/2026</t>
  </si>
  <si>
    <t>14/05/2026</t>
  </si>
  <si>
    <t>09/05/2026</t>
  </si>
  <si>
    <t>16/05/2026</t>
  </si>
  <si>
    <t>Jun</t>
  </si>
  <si>
    <t>22/06/2026</t>
  </si>
  <si>
    <t>21/06/2026</t>
  </si>
  <si>
    <t>20/06/2026</t>
  </si>
  <si>
    <t>17/06/2026</t>
  </si>
  <si>
    <t>10/06/2026</t>
  </si>
  <si>
    <t>03/06/2026</t>
  </si>
  <si>
    <t>19/06/2026</t>
  </si>
  <si>
    <t>26/07/2026</t>
  </si>
  <si>
    <t>Jul</t>
  </si>
  <si>
    <t>07/07/2026</t>
  </si>
  <si>
    <t>03/07/2026</t>
  </si>
  <si>
    <t>16/07/2026</t>
  </si>
  <si>
    <t>01/07/2026</t>
  </si>
  <si>
    <t>20/07/2026</t>
  </si>
  <si>
    <t>28/07/2026</t>
  </si>
  <si>
    <t>26/08/2026</t>
  </si>
  <si>
    <t>Aug</t>
  </si>
  <si>
    <t>15/08/2026</t>
  </si>
  <si>
    <t>14/08/2026</t>
  </si>
  <si>
    <t>27/08/2026</t>
  </si>
  <si>
    <t>10/08/2026</t>
  </si>
  <si>
    <t>08/08/2026</t>
  </si>
  <si>
    <t>24/09/2026</t>
  </si>
  <si>
    <t>Sep</t>
  </si>
  <si>
    <t>05/09/2026</t>
  </si>
  <si>
    <t>16/09/2026</t>
  </si>
  <si>
    <t>07/09/2026</t>
  </si>
  <si>
    <t>03/09/2026</t>
  </si>
  <si>
    <t>17/09/2026</t>
  </si>
  <si>
    <t>12/09/2026</t>
  </si>
  <si>
    <t>21/10/2026</t>
  </si>
  <si>
    <t>Oct</t>
  </si>
  <si>
    <t>22/10/2026</t>
  </si>
  <si>
    <t>15/10/2026</t>
  </si>
  <si>
    <t>08/10/2026</t>
  </si>
  <si>
    <t>01/10/2026</t>
  </si>
  <si>
    <t>02/10/2026</t>
  </si>
  <si>
    <t>28/10/2026</t>
  </si>
  <si>
    <t>27/10/2026</t>
  </si>
  <si>
    <t>02/11/2026</t>
  </si>
  <si>
    <t>Nov</t>
  </si>
  <si>
    <t>27/11/2026</t>
  </si>
  <si>
    <t>15/11/2026</t>
  </si>
  <si>
    <t>21/11/2026</t>
  </si>
  <si>
    <t>13/11/2026</t>
  </si>
  <si>
    <t>06/11/2026</t>
  </si>
  <si>
    <t>25/11/2026</t>
  </si>
  <si>
    <t>18/12/2026</t>
  </si>
  <si>
    <t>Dec</t>
  </si>
  <si>
    <t>19/12/2026</t>
  </si>
  <si>
    <t>07/12/2026</t>
  </si>
  <si>
    <t>28/12/2026</t>
  </si>
  <si>
    <t>08/12/2026</t>
  </si>
  <si>
    <t>03/12/2026</t>
  </si>
  <si>
    <t>15/12/2026</t>
  </si>
  <si>
    <t>Income</t>
  </si>
  <si>
    <t>Salary</t>
  </si>
  <si>
    <t>Company</t>
  </si>
  <si>
    <t>Freelance</t>
  </si>
  <si>
    <t>Client A</t>
  </si>
  <si>
    <t>Interest</t>
  </si>
  <si>
    <t>Bank</t>
  </si>
  <si>
    <t>Client B</t>
  </si>
  <si>
    <t>Bonus</t>
  </si>
  <si>
    <t>Client C</t>
  </si>
  <si>
    <t>Investment</t>
  </si>
  <si>
    <t>Dividends</t>
  </si>
  <si>
    <t>Client D</t>
  </si>
  <si>
    <t>Overtime</t>
  </si>
  <si>
    <t>Online Work</t>
  </si>
  <si>
    <t>Client E</t>
  </si>
  <si>
    <t>Profit</t>
  </si>
  <si>
    <t>Client F</t>
  </si>
  <si>
    <t>Client G</t>
  </si>
  <si>
    <t>Dividend</t>
  </si>
  <si>
    <t>Client H</t>
  </si>
  <si>
    <t>01/02/2026</t>
  </si>
  <si>
    <t>02/02/2026</t>
  </si>
  <si>
    <t>05/02/2026</t>
  </si>
  <si>
    <t>06/02/2026</t>
  </si>
  <si>
    <t>07/02/2026</t>
  </si>
  <si>
    <t>08/02/2026</t>
  </si>
  <si>
    <t>10/02/2026</t>
  </si>
  <si>
    <t>11/02/2026</t>
  </si>
  <si>
    <t>12/02/2026</t>
  </si>
  <si>
    <t>13/02/2026</t>
  </si>
  <si>
    <t>14/02/2026</t>
  </si>
  <si>
    <t>15/02/2026</t>
  </si>
  <si>
    <t>16/02/2026</t>
  </si>
  <si>
    <t>17/02/2026</t>
  </si>
  <si>
    <t>18/02/2026</t>
  </si>
  <si>
    <t>19/02/2026</t>
  </si>
  <si>
    <t>21/02/2026</t>
  </si>
  <si>
    <t>23/02/2026</t>
  </si>
  <si>
    <t>25/02/2026</t>
  </si>
  <si>
    <t>27/02/2026</t>
  </si>
  <si>
    <t>01/03/2026</t>
  </si>
  <si>
    <t>02/03/2026</t>
  </si>
  <si>
    <t>03/03/2026</t>
  </si>
  <si>
    <t>04/03/2026</t>
  </si>
  <si>
    <t>05/03/2026</t>
  </si>
  <si>
    <t>08/03/2026</t>
  </si>
  <si>
    <t>09/03/2026</t>
  </si>
  <si>
    <t>10/03/2026</t>
  </si>
  <si>
    <t>12/03/2026</t>
  </si>
  <si>
    <t>14/03/2026</t>
  </si>
  <si>
    <t>15/03/2026</t>
  </si>
  <si>
    <t>16/03/2026</t>
  </si>
  <si>
    <t>18/03/2026</t>
  </si>
  <si>
    <t>19/03/2026</t>
  </si>
  <si>
    <t>20/03/2026</t>
  </si>
  <si>
    <t>21/03/2026</t>
  </si>
  <si>
    <t>22/03/2026</t>
  </si>
  <si>
    <t>24/03/2026</t>
  </si>
  <si>
    <t>25/03/2026</t>
  </si>
  <si>
    <t>26/03/2026</t>
  </si>
  <si>
    <t>27/03/2026</t>
  </si>
  <si>
    <t>29/03/2026</t>
  </si>
  <si>
    <t>30/03/2026</t>
  </si>
  <si>
    <t>31/03/2026</t>
  </si>
  <si>
    <t>01/04/2026</t>
  </si>
  <si>
    <t>02/04/2026</t>
  </si>
  <si>
    <t>04/04/2026</t>
  </si>
  <si>
    <t>05/04/2026</t>
  </si>
  <si>
    <t>06/04/2026</t>
  </si>
  <si>
    <t>07/04/2026</t>
  </si>
  <si>
    <t>10/04/2026</t>
  </si>
  <si>
    <t>11/04/2026</t>
  </si>
  <si>
    <t>12/04/2026</t>
  </si>
  <si>
    <t>13/04/2026</t>
  </si>
  <si>
    <t>14/04/2026</t>
  </si>
  <si>
    <t>15/04/2026</t>
  </si>
  <si>
    <t>17/04/2026</t>
  </si>
  <si>
    <t>18/04/2026</t>
  </si>
  <si>
    <t>19/04/2026</t>
  </si>
  <si>
    <t>21/04/2026</t>
  </si>
  <si>
    <t>23/04/2026</t>
  </si>
  <si>
    <t>25/04/2026</t>
  </si>
  <si>
    <t>27/04/2026</t>
  </si>
  <si>
    <t>28/04/2026</t>
  </si>
  <si>
    <t>29/04/2026</t>
  </si>
  <si>
    <t>30/04/2026</t>
  </si>
  <si>
    <t>01/05/2026</t>
  </si>
  <si>
    <t>03/05/2026</t>
  </si>
  <si>
    <t>04/05/2026</t>
  </si>
  <si>
    <t>05/05/2026</t>
  </si>
  <si>
    <t>06/05/2026</t>
  </si>
  <si>
    <t>07/05/2026</t>
  </si>
  <si>
    <t>08/05/2026</t>
  </si>
  <si>
    <t>11/05/2026</t>
  </si>
  <si>
    <t>12/05/2026</t>
  </si>
  <si>
    <t>13/05/2026</t>
  </si>
  <si>
    <t>15/05/2026</t>
  </si>
  <si>
    <t>17/05/2026</t>
  </si>
  <si>
    <t>18/05/2026</t>
  </si>
  <si>
    <t>20/05/2026</t>
  </si>
  <si>
    <t>21/05/2026</t>
  </si>
  <si>
    <t>22/05/2026</t>
  </si>
  <si>
    <t>23/05/2026</t>
  </si>
  <si>
    <t>25/05/2026</t>
  </si>
  <si>
    <t>26/05/2026</t>
  </si>
  <si>
    <t>27/05/2026</t>
  </si>
  <si>
    <t>28/05/2026</t>
  </si>
  <si>
    <t>29/05/2026</t>
  </si>
  <si>
    <t>30/05/2026</t>
  </si>
  <si>
    <t>31/05/2026</t>
  </si>
  <si>
    <t>01/06/2026</t>
  </si>
  <si>
    <t>02/06/2026</t>
  </si>
  <si>
    <t>04/06/2026</t>
  </si>
  <si>
    <t>05/06/2026</t>
  </si>
  <si>
    <t>06/06/2026</t>
  </si>
  <si>
    <t>07/06/2026</t>
  </si>
  <si>
    <t>08/06/2026</t>
  </si>
  <si>
    <t>09/06/2026</t>
  </si>
  <si>
    <t>11/06/2026</t>
  </si>
  <si>
    <t>12/06/2026</t>
  </si>
  <si>
    <t>13/06/2026</t>
  </si>
  <si>
    <t>14/06/2026</t>
  </si>
  <si>
    <t>15/06/2026</t>
  </si>
  <si>
    <t>16/06/2026</t>
  </si>
  <si>
    <t>18/06/2026</t>
  </si>
  <si>
    <t>23/06/2026</t>
  </si>
  <si>
    <t>24/06/2026</t>
  </si>
  <si>
    <t>25/06/2026</t>
  </si>
  <si>
    <t>26/06/2026</t>
  </si>
  <si>
    <t>27/06/2026</t>
  </si>
  <si>
    <t>28/06/2026</t>
  </si>
  <si>
    <t>29/06/2026</t>
  </si>
  <si>
    <t>30/06/2026</t>
  </si>
  <si>
    <t>02/07/2026</t>
  </si>
  <si>
    <t>04/07/2026</t>
  </si>
  <si>
    <t>05/07/2026</t>
  </si>
  <si>
    <t>06/07/2026</t>
  </si>
  <si>
    <t>08/07/2026</t>
  </si>
  <si>
    <t>09/07/2026</t>
  </si>
  <si>
    <t>10/07/2026</t>
  </si>
  <si>
    <t>11/07/2026</t>
  </si>
  <si>
    <t>12/07/2026</t>
  </si>
  <si>
    <t>13/07/2026</t>
  </si>
  <si>
    <t>14/07/2026</t>
  </si>
  <si>
    <t>15/07/2026</t>
  </si>
  <si>
    <t>17/07/2026</t>
  </si>
  <si>
    <t>18/07/2026</t>
  </si>
  <si>
    <t>19/07/2026</t>
  </si>
  <si>
    <t>21/07/2026</t>
  </si>
  <si>
    <t>22/07/2026</t>
  </si>
  <si>
    <t>23/07/2026</t>
  </si>
  <si>
    <t>24/07/2026</t>
  </si>
  <si>
    <t>25/07/2026</t>
  </si>
  <si>
    <t>27/07/2026</t>
  </si>
  <si>
    <t>29/07/2026</t>
  </si>
  <si>
    <t>30/07/2026</t>
  </si>
  <si>
    <t>31/07/2026</t>
  </si>
  <si>
    <t>01/08/2026</t>
  </si>
  <si>
    <t>02/08/2026</t>
  </si>
  <si>
    <t>03/08/2026</t>
  </si>
  <si>
    <t>04/08/2026</t>
  </si>
  <si>
    <t>05/08/2026</t>
  </si>
  <si>
    <t>06/08/2026</t>
  </si>
  <si>
    <t>07/08/2026</t>
  </si>
  <si>
    <t>09/08/2026</t>
  </si>
  <si>
    <t>11/08/2026</t>
  </si>
  <si>
    <t>12/08/2026</t>
  </si>
  <si>
    <t>13/08/2026</t>
  </si>
  <si>
    <t>16/08/2026</t>
  </si>
  <si>
    <t>17/08/2026</t>
  </si>
  <si>
    <t>18/08/2026</t>
  </si>
  <si>
    <t>19/08/2026</t>
  </si>
  <si>
    <t>20/08/2026</t>
  </si>
  <si>
    <t>21/08/2026</t>
  </si>
  <si>
    <t>22/08/2026</t>
  </si>
  <si>
    <t>23/08/2026</t>
  </si>
  <si>
    <t>24/08/2026</t>
  </si>
  <si>
    <t>25/08/2026</t>
  </si>
  <si>
    <t>28/08/2026</t>
  </si>
  <si>
    <t>29/08/2026</t>
  </si>
  <si>
    <t>30/08/2026</t>
  </si>
  <si>
    <t>31/08/2026</t>
  </si>
  <si>
    <t>01/09/2026</t>
  </si>
  <si>
    <t>02/09/2026</t>
  </si>
  <si>
    <t>04/09/2026</t>
  </si>
  <si>
    <t>06/09/2026</t>
  </si>
  <si>
    <t>08/09/2026</t>
  </si>
  <si>
    <t>09/09/2026</t>
  </si>
  <si>
    <t>10/09/2026</t>
  </si>
  <si>
    <t>11/09/2026</t>
  </si>
  <si>
    <t>13/09/2026</t>
  </si>
  <si>
    <t>14/09/2026</t>
  </si>
  <si>
    <t>15/09/2026</t>
  </si>
  <si>
    <t>18/09/2026</t>
  </si>
  <si>
    <t>19/09/2026</t>
  </si>
  <si>
    <t>20/09/2026</t>
  </si>
  <si>
    <t>21/09/2026</t>
  </si>
  <si>
    <t>22/09/2026</t>
  </si>
  <si>
    <t>23/09/2026</t>
  </si>
  <si>
    <t>25/09/2026</t>
  </si>
  <si>
    <t>26/09/2026</t>
  </si>
  <si>
    <t>27/09/2026</t>
  </si>
  <si>
    <t>28/09/2026</t>
  </si>
  <si>
    <t>29/09/2026</t>
  </si>
  <si>
    <t>30/09/2026</t>
  </si>
  <si>
    <t>03/10/2026</t>
  </si>
  <si>
    <t>04/10/2026</t>
  </si>
  <si>
    <t>05/10/2026</t>
  </si>
  <si>
    <t>06/10/2026</t>
  </si>
  <si>
    <t>07/10/2026</t>
  </si>
  <si>
    <t>09/10/2026</t>
  </si>
  <si>
    <t>10/10/2026</t>
  </si>
  <si>
    <t>11/10/2026</t>
  </si>
  <si>
    <t>12/10/2026</t>
  </si>
  <si>
    <t>13/10/2026</t>
  </si>
  <si>
    <t>14/10/2026</t>
  </si>
  <si>
    <t>16/10/2026</t>
  </si>
  <si>
    <t>17/10/2026</t>
  </si>
  <si>
    <t>18/10/2026</t>
  </si>
  <si>
    <t>19/10/2026</t>
  </si>
  <si>
    <t>20/10/2026</t>
  </si>
  <si>
    <t>23/10/2026</t>
  </si>
  <si>
    <t>24/10/2026</t>
  </si>
  <si>
    <t>25/10/2026</t>
  </si>
  <si>
    <t>26/10/2026</t>
  </si>
  <si>
    <t>29/10/2026</t>
  </si>
  <si>
    <t>30/10/2026</t>
  </si>
  <si>
    <t>31/10/2026</t>
  </si>
  <si>
    <t>01/11/2026</t>
  </si>
  <si>
    <t>03/11/2026</t>
  </si>
  <si>
    <t>04/11/2026</t>
  </si>
  <si>
    <t>05/11/2026</t>
  </si>
  <si>
    <t>07/11/2026</t>
  </si>
  <si>
    <t>08/11/2026</t>
  </si>
  <si>
    <t>09/11/2026</t>
  </si>
  <si>
    <t>10/11/2026</t>
  </si>
  <si>
    <t>11/11/2026</t>
  </si>
  <si>
    <t>12/11/2026</t>
  </si>
  <si>
    <t>14/11/2026</t>
  </si>
  <si>
    <t>16/11/2026</t>
  </si>
  <si>
    <t>17/11/2026</t>
  </si>
  <si>
    <t>18/11/2026</t>
  </si>
  <si>
    <t>19/11/2026</t>
  </si>
  <si>
    <t>20/11/2026</t>
  </si>
  <si>
    <t>22/11/2026</t>
  </si>
  <si>
    <t>23/11/2026</t>
  </si>
  <si>
    <t>24/11/2026</t>
  </si>
  <si>
    <t>26/11/2026</t>
  </si>
  <si>
    <t>28/11/2026</t>
  </si>
  <si>
    <t>29/11/2026</t>
  </si>
  <si>
    <t>30/11/2026</t>
  </si>
  <si>
    <t>01/12/2026</t>
  </si>
  <si>
    <t>02/12/2026</t>
  </si>
  <si>
    <t>04/12/2026</t>
  </si>
  <si>
    <t>05/12/2026</t>
  </si>
  <si>
    <t>06/12/2026</t>
  </si>
  <si>
    <t>09/12/2026</t>
  </si>
  <si>
    <t>10/12/2026</t>
  </si>
  <si>
    <t>11/12/2026</t>
  </si>
  <si>
    <t>12/12/2026</t>
  </si>
  <si>
    <t>13/12/2026</t>
  </si>
  <si>
    <t>14/12/2026</t>
  </si>
  <si>
    <t>16/12/2026</t>
  </si>
  <si>
    <t>17/12/2026</t>
  </si>
  <si>
    <t>20/12/2026</t>
  </si>
  <si>
    <t>21/12/2026</t>
  </si>
  <si>
    <t>22/12/2026</t>
  </si>
  <si>
    <t>23/12/2026</t>
  </si>
  <si>
    <t>24/12/2026</t>
  </si>
  <si>
    <t>25/12/2026</t>
  </si>
  <si>
    <t>26/12/2026</t>
  </si>
  <si>
    <t>27/12/2026</t>
  </si>
  <si>
    <t>29/12/2026</t>
  </si>
  <si>
    <t>30/12/2026</t>
  </si>
  <si>
    <t>31/12/2026</t>
  </si>
  <si>
    <t>Row Labels</t>
  </si>
  <si>
    <t>Grand Total</t>
  </si>
  <si>
    <t>Sum of Amount</t>
  </si>
  <si>
    <t>Freelancer</t>
  </si>
  <si>
    <t>INCOME</t>
  </si>
  <si>
    <t>AMOUNT</t>
  </si>
  <si>
    <t>EXPENSES</t>
  </si>
  <si>
    <t>Health Care</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</si>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</sst>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4009]\ * #,##0_ ;_ [$₹-4009]\ * \-#,##0_ ;_ [$₹-4009]\ * &quot;-&quot;_ ;_ @_ "/>
  </numFmts>
  <fonts count="3" x14ac:knownFonts="1">
    <font>
      <sz val="11"/>
      <color theme="1"/>
      <name val="Aptos Narrow"/>
      <family val="2"/>
      <scheme val="minor"/>
    </font>
    <font>
      <b/>
      <sz val="11"/>
      <color theme="1"/>
      <name val="Aptos Narrow"/>
      <family val="2"/>
      <scheme val="minor"/>
    </font>
    <font>
      <sz val="11"/>
      <color theme="1"/>
      <name val="Aptos Narrow"/>
      <family val="2"/>
      <scheme val="minor"/>
    </font>
  </fonts>
  <fills count="4">
    <fill>
      <patternFill patternType="none"/>
    </fill>
    <fill>
      <patternFill patternType="gray125"/>
    </fill>
    <fill>
      <patternFill patternType="solid">
        <fgColor rgb="FF59C0E9"/>
        <bgColor indexed="64"/>
      </patternFill>
    </fill>
    <fill>
      <patternFill patternType="solid">
        <fgColor theme="5" tint="0.59999389629810485"/>
        <bgColor indexed="64"/>
      </patternFill>
    </fill>
  </fills>
  <borders count="7">
    <border>
      <left/>
      <right/>
      <top/>
      <bottom/>
      <diagonal/>
    </border>
    <border>
      <left style="thin">
        <color theme="4" tint="0.59996337778862885"/>
      </left>
      <right style="thin">
        <color theme="4" tint="0.59996337778862885"/>
      </right>
      <top style="thin">
        <color theme="4" tint="0.59996337778862885"/>
      </top>
      <bottom style="thin">
        <color theme="4" tint="0.59996337778862885"/>
      </bottom>
      <diagonal/>
    </border>
    <border>
      <left/>
      <right style="thick">
        <color auto="1"/>
      </right>
      <top/>
      <bottom style="thick">
        <color auto="1"/>
      </bottom>
      <diagonal/>
    </border>
    <border>
      <left/>
      <right style="thick">
        <color auto="1"/>
      </right>
      <top/>
      <bottom/>
      <diagonal/>
    </border>
    <border>
      <left/>
      <right/>
      <top/>
      <bottom style="thick">
        <color auto="1"/>
      </bottom>
      <diagonal/>
    </border>
    <border>
      <left style="thin">
        <color theme="4" tint="0.59996337778862885"/>
      </left>
      <right style="thin">
        <color theme="4" tint="0.59996337778862885"/>
      </right>
      <top style="thin">
        <color theme="4" tint="0.59996337778862885"/>
      </top>
      <bottom style="thick">
        <color auto="1"/>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2" fillId="0" borderId="0" applyFont="0" applyFill="0" applyBorder="0" applyAlignment="0" applyProtection="0"/>
  </cellStyleXfs>
  <cellXfs count="26">
    <xf numFmtId="0" fontId="0" fillId="0" borderId="0" xfId="0"/>
    <xf numFmtId="0" fontId="0" fillId="0" borderId="0" xfId="0" applyAlignment="1">
      <alignment horizontal="center" vertical="center"/>
    </xf>
    <xf numFmtId="14" fontId="0" fillId="0" borderId="0" xfId="0" applyNumberFormat="1"/>
    <xf numFmtId="0" fontId="0" fillId="0" borderId="0" xfId="0" applyAlignment="1">
      <alignment horizontal="left" vertical="center"/>
    </xf>
    <xf numFmtId="164" fontId="0" fillId="0" borderId="0" xfId="0" applyNumberFormat="1" applyAlignment="1">
      <alignment horizontal="center" vertical="center"/>
    </xf>
    <xf numFmtId="0" fontId="0" fillId="0" borderId="0" xfId="0" pivotButton="1"/>
    <xf numFmtId="0" fontId="0" fillId="0" borderId="0" xfId="0" applyAlignment="1">
      <alignment horizontal="left"/>
    </xf>
    <xf numFmtId="164" fontId="0" fillId="0" borderId="0" xfId="0" applyNumberFormat="1"/>
    <xf numFmtId="4" fontId="1" fillId="2" borderId="1" xfId="0" applyNumberFormat="1" applyFont="1" applyFill="1" applyBorder="1"/>
    <xf numFmtId="4" fontId="0" fillId="0" borderId="1" xfId="0" applyNumberFormat="1" applyBorder="1" applyAlignment="1">
      <alignment horizontal="left"/>
    </xf>
    <xf numFmtId="4" fontId="1" fillId="3" borderId="1" xfId="0" applyNumberFormat="1" applyFont="1" applyFill="1" applyBorder="1"/>
    <xf numFmtId="4" fontId="0" fillId="0" borderId="0" xfId="0" applyNumberFormat="1" applyBorder="1"/>
    <xf numFmtId="4" fontId="0" fillId="0" borderId="3" xfId="0" applyNumberFormat="1" applyBorder="1"/>
    <xf numFmtId="4" fontId="0" fillId="0" borderId="4" xfId="0" applyNumberFormat="1" applyBorder="1"/>
    <xf numFmtId="4" fontId="0" fillId="0" borderId="5" xfId="0" applyNumberFormat="1" applyBorder="1" applyAlignment="1">
      <alignment horizontal="left"/>
    </xf>
    <xf numFmtId="4" fontId="0" fillId="0" borderId="2" xfId="0" applyNumberFormat="1" applyBorder="1"/>
    <xf numFmtId="164" fontId="0" fillId="0" borderId="6" xfId="0" applyNumberFormat="1" applyBorder="1"/>
    <xf numFmtId="0" fontId="0" fillId="0" borderId="6" xfId="0" applyBorder="1"/>
    <xf numFmtId="9" fontId="0" fillId="0" borderId="6" xfId="1" applyFont="1" applyBorder="1"/>
    <xf numFmtId="9" fontId="0" fillId="0" borderId="6" xfId="0" applyNumberFormat="1" applyBorder="1"/>
    <xf numFmtId="3" fontId="0" fillId="0" borderId="0" xfId="0" applyNumberFormat="1" applyBorder="1"/>
    <xf numFmtId="3" fontId="1" fillId="2" borderId="1" xfId="0" applyNumberFormat="1" applyFont="1" applyFill="1" applyBorder="1"/>
    <xf numFmtId="3" fontId="0" fillId="0" borderId="1" xfId="0" applyNumberFormat="1" applyBorder="1"/>
    <xf numFmtId="3" fontId="1" fillId="3" borderId="1" xfId="0" applyNumberFormat="1" applyFont="1" applyFill="1" applyBorder="1"/>
    <xf numFmtId="3" fontId="0" fillId="0" borderId="5" xfId="0" applyNumberFormat="1" applyBorder="1"/>
    <xf numFmtId="3" fontId="0" fillId="0" borderId="0" xfId="0" applyNumberFormat="1"/>
  </cellXfs>
  <cellStyles count="2">
    <cellStyle name="Normal" xfId="0" builtinId="0"/>
    <cellStyle name="Percent" xfId="1" builtinId="5"/>
  </cellStyles>
  <dxfs count="8">
    <dxf>
      <numFmt numFmtId="164" formatCode="_ [$₹-4009]\ * #,##0_ ;_ [$₹-4009]\ * \-#,##0_ ;_ [$₹-4009]\ * &quot;-&quot;_ ;_ @_ "/>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general" vertical="bottom"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s>
  <tableStyles count="0" defaultTableStyle="TableStyleMedium2" defaultPivotStyle="PivotStyleLight16"/>
  <colors>
    <mruColors>
      <color rgb="FF59C0E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microsoft.com/office/2007/relationships/slicerCache" Target="slicerCaches/slicerCache1.xml"/><Relationship Id="rId10" Type="http://schemas.openxmlformats.org/officeDocument/2006/relationships/customXml" Target="../customXml/item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2830718994771318"/>
          <c:y val="5.905511811023622E-2"/>
          <c:w val="0.63280082115719782"/>
          <c:h val="0.90980042589015997"/>
        </c:manualLayout>
      </c:layout>
      <c:pieChart>
        <c:varyColors val="1"/>
        <c:ser>
          <c:idx val="0"/>
          <c:order val="0"/>
          <c:tx>
            <c:strRef>
              <c:f>Dashboard!$C$4</c:f>
              <c:strCache>
                <c:ptCount val="1"/>
                <c:pt idx="0">
                  <c:v>AMOUNT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B94-450D-ACFB-6D851792DE47}"/>
              </c:ext>
            </c:extLst>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Lbls>
            <c:dLbl>
              <c:idx val="0"/>
              <c:layout>
                <c:manualLayout>
                  <c:x val="0"/>
                  <c:y val="-0.13207547169811323"/>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BB94-450D-ACFB-6D851792DE47}"/>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0"/>
            <c:showCatName val="0"/>
            <c:showSerName val="0"/>
            <c:showPercent val="1"/>
            <c:showBubbleSize val="0"/>
            <c:showLeaderLines val="0"/>
            <c:extLst>
              <c:ext xmlns:c15="http://schemas.microsoft.com/office/drawing/2012/chart" uri="{CE6537A1-D6FC-4f65-9D91-7224C49458BB}"/>
            </c:extLst>
          </c:dLbls>
          <c:cat>
            <c:strRef>
              <c:f>Dashboard!$B$5:$B$12</c:f>
              <c:strCache>
                <c:ptCount val="8"/>
                <c:pt idx="0">
                  <c:v>Salary</c:v>
                </c:pt>
                <c:pt idx="1">
                  <c:v>Freelancer</c:v>
                </c:pt>
                <c:pt idx="2">
                  <c:v>Interest</c:v>
                </c:pt>
                <c:pt idx="3">
                  <c:v>Bonus</c:v>
                </c:pt>
                <c:pt idx="4">
                  <c:v>Investment</c:v>
                </c:pt>
                <c:pt idx="5">
                  <c:v>Overtime</c:v>
                </c:pt>
                <c:pt idx="6">
                  <c:v>Profit</c:v>
                </c:pt>
                <c:pt idx="7">
                  <c:v>Dividend</c:v>
                </c:pt>
              </c:strCache>
            </c:strRef>
          </c:cat>
          <c:val>
            <c:numRef>
              <c:f>Dashboard!$C$5:$C$12</c:f>
              <c:numCache>
                <c:formatCode>#,##0</c:formatCode>
                <c:ptCount val="8"/>
                <c:pt idx="0">
                  <c:v>614400</c:v>
                </c:pt>
                <c:pt idx="1">
                  <c:v>635552</c:v>
                </c:pt>
                <c:pt idx="2">
                  <c:v>46041</c:v>
                </c:pt>
                <c:pt idx="3">
                  <c:v>92260</c:v>
                </c:pt>
                <c:pt idx="4">
                  <c:v>36291</c:v>
                </c:pt>
                <c:pt idx="5">
                  <c:v>44960</c:v>
                </c:pt>
                <c:pt idx="6">
                  <c:v>50301</c:v>
                </c:pt>
                <c:pt idx="7">
                  <c:v>28021</c:v>
                </c:pt>
              </c:numCache>
            </c:numRef>
          </c:val>
          <c:extLst>
            <c:ext xmlns:c16="http://schemas.microsoft.com/office/drawing/2014/chart" uri="{C3380CC4-5D6E-409C-BE32-E72D297353CC}">
              <c16:uniqueId val="{00000000-BB94-450D-ACFB-6D851792DE47}"/>
            </c:ext>
          </c:extLst>
        </c:ser>
        <c:dLbls>
          <c:showLegendKey val="0"/>
          <c:showVal val="1"/>
          <c:showCatName val="0"/>
          <c:showSerName val="0"/>
          <c:showPercent val="0"/>
          <c:showBubbleSize val="0"/>
          <c:showLeaderLines val="0"/>
        </c:dLbls>
        <c:firstSliceAng val="0"/>
      </c:pieChart>
      <c:spPr>
        <a:noFill/>
        <a:ln>
          <a:noFill/>
        </a:ln>
        <a:effectLst/>
      </c:spPr>
    </c:plotArea>
    <c:legend>
      <c:legendPos val="l"/>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Dashboard!$C$4</c:f>
              <c:strCache>
                <c:ptCount val="1"/>
                <c:pt idx="0">
                  <c:v>AMOUNT</c:v>
                </c:pt>
              </c:strCache>
            </c:strRef>
          </c:tx>
          <c:spPr>
            <a:solidFill>
              <a:srgbClr val="59C0E9"/>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Dashboard!$B$5:$B$12</c:f>
              <c:strCache>
                <c:ptCount val="8"/>
                <c:pt idx="0">
                  <c:v>Salary</c:v>
                </c:pt>
                <c:pt idx="1">
                  <c:v>Freelancer</c:v>
                </c:pt>
                <c:pt idx="2">
                  <c:v>Interest</c:v>
                </c:pt>
                <c:pt idx="3">
                  <c:v>Bonus</c:v>
                </c:pt>
                <c:pt idx="4">
                  <c:v>Investment</c:v>
                </c:pt>
                <c:pt idx="5">
                  <c:v>Overtime</c:v>
                </c:pt>
                <c:pt idx="6">
                  <c:v>Profit</c:v>
                </c:pt>
                <c:pt idx="7">
                  <c:v>Dividend</c:v>
                </c:pt>
              </c:strCache>
            </c:strRef>
          </c:cat>
          <c:val>
            <c:numRef>
              <c:f>Dashboard!$C$5:$C$12</c:f>
              <c:numCache>
                <c:formatCode>#,##0</c:formatCode>
                <c:ptCount val="8"/>
                <c:pt idx="0">
                  <c:v>614400</c:v>
                </c:pt>
                <c:pt idx="1">
                  <c:v>635552</c:v>
                </c:pt>
                <c:pt idx="2">
                  <c:v>46041</c:v>
                </c:pt>
                <c:pt idx="3">
                  <c:v>92260</c:v>
                </c:pt>
                <c:pt idx="4">
                  <c:v>36291</c:v>
                </c:pt>
                <c:pt idx="5">
                  <c:v>44960</c:v>
                </c:pt>
                <c:pt idx="6">
                  <c:v>50301</c:v>
                </c:pt>
                <c:pt idx="7">
                  <c:v>28021</c:v>
                </c:pt>
              </c:numCache>
            </c:numRef>
          </c:val>
          <c:extLst>
            <c:ext xmlns:c16="http://schemas.microsoft.com/office/drawing/2014/chart" uri="{C3380CC4-5D6E-409C-BE32-E72D297353CC}">
              <c16:uniqueId val="{00000000-8826-41D2-9849-BD7CF5CA7938}"/>
            </c:ext>
          </c:extLst>
        </c:ser>
        <c:dLbls>
          <c:dLblPos val="outEnd"/>
          <c:showLegendKey val="0"/>
          <c:showVal val="1"/>
          <c:showCatName val="0"/>
          <c:showSerName val="0"/>
          <c:showPercent val="0"/>
          <c:showBubbleSize val="0"/>
        </c:dLbls>
        <c:gapWidth val="50"/>
        <c:axId val="937852207"/>
        <c:axId val="937850287"/>
      </c:barChart>
      <c:catAx>
        <c:axId val="937852207"/>
        <c:scaling>
          <c:orientation val="maxMin"/>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937850287"/>
        <c:crosses val="autoZero"/>
        <c:auto val="1"/>
        <c:lblAlgn val="ctr"/>
        <c:lblOffset val="100"/>
        <c:noMultiLvlLbl val="0"/>
      </c:catAx>
      <c:valAx>
        <c:axId val="937850287"/>
        <c:scaling>
          <c:orientation val="minMax"/>
        </c:scaling>
        <c:delete val="1"/>
        <c:axPos val="t"/>
        <c:numFmt formatCode="#,##0" sourceLinked="1"/>
        <c:majorTickMark val="out"/>
        <c:minorTickMark val="none"/>
        <c:tickLblPos val="nextTo"/>
        <c:crossAx val="937852207"/>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9398526442056372"/>
          <c:y val="3.1422825540472599E-2"/>
          <c:w val="0.67749825296995114"/>
          <c:h val="0.9685771744595274"/>
        </c:manualLayout>
      </c:layout>
      <c:pieChart>
        <c:varyColors val="1"/>
        <c:ser>
          <c:idx val="0"/>
          <c:order val="0"/>
          <c:tx>
            <c:strRef>
              <c:f>Dashboard!$C$17</c:f>
              <c:strCache>
                <c:ptCount val="1"/>
                <c:pt idx="0">
                  <c:v>AMOUNT</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0"/>
            <c:showCatName val="0"/>
            <c:showSerName val="0"/>
            <c:showPercent val="1"/>
            <c:showBubbleSize val="0"/>
            <c:showLeaderLines val="0"/>
            <c:extLst>
              <c:ext xmlns:c15="http://schemas.microsoft.com/office/drawing/2012/chart" uri="{CE6537A1-D6FC-4f65-9D91-7224C49458BB}"/>
            </c:extLst>
          </c:dLbls>
          <c:cat>
            <c:strRef>
              <c:f>Dashboard!$B$18:$B$25</c:f>
              <c:strCache>
                <c:ptCount val="8"/>
                <c:pt idx="0">
                  <c:v>Health Care</c:v>
                </c:pt>
                <c:pt idx="1">
                  <c:v>Education</c:v>
                </c:pt>
                <c:pt idx="2">
                  <c:v>Travel</c:v>
                </c:pt>
                <c:pt idx="3">
                  <c:v>Shopping</c:v>
                </c:pt>
                <c:pt idx="4">
                  <c:v>Dining</c:v>
                </c:pt>
                <c:pt idx="5">
                  <c:v>Rent</c:v>
                </c:pt>
                <c:pt idx="6">
                  <c:v>Bills</c:v>
                </c:pt>
                <c:pt idx="7">
                  <c:v>Transport</c:v>
                </c:pt>
              </c:strCache>
            </c:strRef>
          </c:cat>
          <c:val>
            <c:numRef>
              <c:f>Dashboard!$C$18:$C$25</c:f>
              <c:numCache>
                <c:formatCode>#,##0</c:formatCode>
                <c:ptCount val="8"/>
                <c:pt idx="0">
                  <c:v>67604.401000000013</c:v>
                </c:pt>
                <c:pt idx="1">
                  <c:v>119851.95056249999</c:v>
                </c:pt>
                <c:pt idx="2">
                  <c:v>118078.4870625</c:v>
                </c:pt>
                <c:pt idx="3">
                  <c:v>243721.87925</c:v>
                </c:pt>
                <c:pt idx="4">
                  <c:v>121069.97125</c:v>
                </c:pt>
                <c:pt idx="5">
                  <c:v>348000.11249999999</c:v>
                </c:pt>
                <c:pt idx="6">
                  <c:v>190555.48499999999</c:v>
                </c:pt>
                <c:pt idx="7">
                  <c:v>105642.85806250002</c:v>
                </c:pt>
              </c:numCache>
            </c:numRef>
          </c:val>
          <c:extLst>
            <c:ext xmlns:c16="http://schemas.microsoft.com/office/drawing/2014/chart" uri="{C3380CC4-5D6E-409C-BE32-E72D297353CC}">
              <c16:uniqueId val="{00000000-36F0-46F3-A4FD-5CA78CB7B6B2}"/>
            </c:ext>
          </c:extLst>
        </c:ser>
        <c:dLbls>
          <c:dLblPos val="inEnd"/>
          <c:showLegendKey val="0"/>
          <c:showVal val="1"/>
          <c:showCatName val="0"/>
          <c:showSerName val="0"/>
          <c:showPercent val="0"/>
          <c:showBubbleSize val="0"/>
          <c:showLeaderLines val="0"/>
        </c:dLbls>
        <c:firstSliceAng val="0"/>
      </c:pieChart>
      <c:spPr>
        <a:noFill/>
        <a:ln>
          <a:noFill/>
        </a:ln>
        <a:effectLst/>
      </c:spPr>
    </c:plotArea>
    <c:legend>
      <c:legendPos val="l"/>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Dashboard!$C$17</c:f>
              <c:strCache>
                <c:ptCount val="1"/>
                <c:pt idx="0">
                  <c:v>AMOUNT</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Dashboard!$B$18:$B$25</c:f>
              <c:strCache>
                <c:ptCount val="8"/>
                <c:pt idx="0">
                  <c:v>Health Care</c:v>
                </c:pt>
                <c:pt idx="1">
                  <c:v>Education</c:v>
                </c:pt>
                <c:pt idx="2">
                  <c:v>Travel</c:v>
                </c:pt>
                <c:pt idx="3">
                  <c:v>Shopping</c:v>
                </c:pt>
                <c:pt idx="4">
                  <c:v>Dining</c:v>
                </c:pt>
                <c:pt idx="5">
                  <c:v>Rent</c:v>
                </c:pt>
                <c:pt idx="6">
                  <c:v>Bills</c:v>
                </c:pt>
                <c:pt idx="7">
                  <c:v>Transport</c:v>
                </c:pt>
              </c:strCache>
            </c:strRef>
          </c:cat>
          <c:val>
            <c:numRef>
              <c:f>Dashboard!$C$18:$C$25</c:f>
              <c:numCache>
                <c:formatCode>#,##0</c:formatCode>
                <c:ptCount val="8"/>
                <c:pt idx="0">
                  <c:v>67604.401000000013</c:v>
                </c:pt>
                <c:pt idx="1">
                  <c:v>119851.95056249999</c:v>
                </c:pt>
                <c:pt idx="2">
                  <c:v>118078.4870625</c:v>
                </c:pt>
                <c:pt idx="3">
                  <c:v>243721.87925</c:v>
                </c:pt>
                <c:pt idx="4">
                  <c:v>121069.97125</c:v>
                </c:pt>
                <c:pt idx="5">
                  <c:v>348000.11249999999</c:v>
                </c:pt>
                <c:pt idx="6">
                  <c:v>190555.48499999999</c:v>
                </c:pt>
                <c:pt idx="7">
                  <c:v>105642.85806250002</c:v>
                </c:pt>
              </c:numCache>
            </c:numRef>
          </c:val>
          <c:extLst>
            <c:ext xmlns:c16="http://schemas.microsoft.com/office/drawing/2014/chart" uri="{C3380CC4-5D6E-409C-BE32-E72D297353CC}">
              <c16:uniqueId val="{00000000-539C-4661-A893-49A05C71AFE0}"/>
            </c:ext>
          </c:extLst>
        </c:ser>
        <c:dLbls>
          <c:dLblPos val="outEnd"/>
          <c:showLegendKey val="0"/>
          <c:showVal val="1"/>
          <c:showCatName val="0"/>
          <c:showSerName val="0"/>
          <c:showPercent val="0"/>
          <c:showBubbleSize val="0"/>
        </c:dLbls>
        <c:gapWidth val="50"/>
        <c:axId val="513039103"/>
        <c:axId val="513036703"/>
      </c:barChart>
      <c:catAx>
        <c:axId val="5130391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513036703"/>
        <c:crosses val="autoZero"/>
        <c:auto val="1"/>
        <c:lblAlgn val="ctr"/>
        <c:lblOffset val="100"/>
        <c:noMultiLvlLbl val="0"/>
      </c:catAx>
      <c:valAx>
        <c:axId val="513036703"/>
        <c:scaling>
          <c:orientation val="minMax"/>
        </c:scaling>
        <c:delete val="1"/>
        <c:axPos val="b"/>
        <c:numFmt formatCode="#,##0" sourceLinked="1"/>
        <c:majorTickMark val="none"/>
        <c:minorTickMark val="none"/>
        <c:tickLblPos val="nextTo"/>
        <c:crossAx val="5130391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spPr>
            <a:solidFill>
              <a:schemeClr val="accent3">
                <a:lumMod val="60000"/>
                <a:lumOff val="40000"/>
              </a:schemeClr>
            </a:solidFill>
            <a:ln>
              <a:noFill/>
            </a:ln>
            <a:effectLst/>
          </c:spPr>
          <c:invertIfNegative val="0"/>
          <c:dPt>
            <c:idx val="0"/>
            <c:invertIfNegative val="0"/>
            <c:bubble3D val="0"/>
            <c:spPr>
              <a:solidFill>
                <a:schemeClr val="accent3">
                  <a:lumMod val="60000"/>
                  <a:lumOff val="40000"/>
                </a:schemeClr>
              </a:solidFill>
              <a:ln>
                <a:noFill/>
              </a:ln>
              <a:effectLst/>
            </c:spPr>
            <c:extLst>
              <c:ext xmlns:c16="http://schemas.microsoft.com/office/drawing/2014/chart" uri="{C3380CC4-5D6E-409C-BE32-E72D297353CC}">
                <c16:uniqueId val="{00000001-8E34-4E4C-833D-64CD9FE802A0}"/>
              </c:ext>
            </c:extLst>
          </c:dPt>
          <c:val>
            <c:numRef>
              <c:f>Pivot!$H$3</c:f>
              <c:numCache>
                <c:formatCode>0%</c:formatCode>
                <c:ptCount val="1"/>
                <c:pt idx="0">
                  <c:v>1</c:v>
                </c:pt>
              </c:numCache>
            </c:numRef>
          </c:val>
          <c:extLst>
            <c:ext xmlns:c16="http://schemas.microsoft.com/office/drawing/2014/chart" uri="{C3380CC4-5D6E-409C-BE32-E72D297353CC}">
              <c16:uniqueId val="{00000002-8E34-4E4C-833D-64CD9FE802A0}"/>
            </c:ext>
          </c:extLst>
        </c:ser>
        <c:ser>
          <c:idx val="1"/>
          <c:order val="1"/>
          <c:spPr>
            <a:solidFill>
              <a:schemeClr val="accent2">
                <a:lumMod val="60000"/>
                <a:lumOff val="40000"/>
              </a:schemeClr>
            </a:solidFill>
            <a:ln>
              <a:noFill/>
            </a:ln>
            <a:effectLst/>
          </c:spPr>
          <c:invertIfNegative val="0"/>
          <c:val>
            <c:numRef>
              <c:f>Pivot!$I$3</c:f>
              <c:numCache>
                <c:formatCode>0%</c:formatCode>
                <c:ptCount val="1"/>
                <c:pt idx="0">
                  <c:v>0</c:v>
                </c:pt>
              </c:numCache>
            </c:numRef>
          </c:val>
          <c:extLst>
            <c:ext xmlns:c16="http://schemas.microsoft.com/office/drawing/2014/chart" uri="{C3380CC4-5D6E-409C-BE32-E72D297353CC}">
              <c16:uniqueId val="{00000003-8E34-4E4C-833D-64CD9FE802A0}"/>
            </c:ext>
          </c:extLst>
        </c:ser>
        <c:dLbls>
          <c:showLegendKey val="0"/>
          <c:showVal val="0"/>
          <c:showCatName val="0"/>
          <c:showSerName val="0"/>
          <c:showPercent val="0"/>
          <c:showBubbleSize val="0"/>
        </c:dLbls>
        <c:gapWidth val="0"/>
        <c:overlap val="100"/>
        <c:axId val="930859359"/>
        <c:axId val="930859839"/>
      </c:barChart>
      <c:catAx>
        <c:axId val="930859359"/>
        <c:scaling>
          <c:orientation val="minMax"/>
        </c:scaling>
        <c:delete val="1"/>
        <c:axPos val="b"/>
        <c:numFmt formatCode="General" sourceLinked="1"/>
        <c:majorTickMark val="none"/>
        <c:minorTickMark val="none"/>
        <c:tickLblPos val="nextTo"/>
        <c:crossAx val="930859839"/>
        <c:crosses val="autoZero"/>
        <c:auto val="1"/>
        <c:lblAlgn val="ctr"/>
        <c:lblOffset val="100"/>
        <c:noMultiLvlLbl val="0"/>
      </c:catAx>
      <c:valAx>
        <c:axId val="930859839"/>
        <c:scaling>
          <c:orientation val="minMax"/>
          <c:max val="1"/>
        </c:scaling>
        <c:delete val="1"/>
        <c:axPos val="l"/>
        <c:numFmt formatCode="0%" sourceLinked="1"/>
        <c:majorTickMark val="none"/>
        <c:minorTickMark val="none"/>
        <c:tickLblPos val="nextTo"/>
        <c:crossAx val="930859359"/>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1.png"/><Relationship Id="rId18" Type="http://schemas.openxmlformats.org/officeDocument/2006/relationships/image" Target="../media/image16.png"/><Relationship Id="rId3" Type="http://schemas.openxmlformats.org/officeDocument/2006/relationships/image" Target="../media/image3.png"/><Relationship Id="rId21" Type="http://schemas.openxmlformats.org/officeDocument/2006/relationships/chart" Target="../charts/chart5.xml"/><Relationship Id="rId7" Type="http://schemas.openxmlformats.org/officeDocument/2006/relationships/image" Target="../media/image7.png"/><Relationship Id="rId12" Type="http://schemas.openxmlformats.org/officeDocument/2006/relationships/image" Target="../media/image10.png"/><Relationship Id="rId17" Type="http://schemas.openxmlformats.org/officeDocument/2006/relationships/image" Target="../media/image15.png"/><Relationship Id="rId2" Type="http://schemas.openxmlformats.org/officeDocument/2006/relationships/image" Target="../media/image2.png"/><Relationship Id="rId16" Type="http://schemas.openxmlformats.org/officeDocument/2006/relationships/image" Target="../media/image14.png"/><Relationship Id="rId20" Type="http://schemas.openxmlformats.org/officeDocument/2006/relationships/chart" Target="../charts/chart4.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9.png"/><Relationship Id="rId5" Type="http://schemas.openxmlformats.org/officeDocument/2006/relationships/image" Target="../media/image5.png"/><Relationship Id="rId15" Type="http://schemas.openxmlformats.org/officeDocument/2006/relationships/image" Target="../media/image13.png"/><Relationship Id="rId10" Type="http://schemas.openxmlformats.org/officeDocument/2006/relationships/chart" Target="../charts/chart2.xml"/><Relationship Id="rId19" Type="http://schemas.openxmlformats.org/officeDocument/2006/relationships/chart" Target="../charts/chart3.xml"/><Relationship Id="rId4" Type="http://schemas.openxmlformats.org/officeDocument/2006/relationships/image" Target="../media/image4.png"/><Relationship Id="rId9" Type="http://schemas.openxmlformats.org/officeDocument/2006/relationships/chart" Target="../charts/chart1.xml"/><Relationship Id="rId14" Type="http://schemas.openxmlformats.org/officeDocument/2006/relationships/image" Target="../media/image12.png"/></Relationships>
</file>

<file path=xl/drawings/drawing1.xml><?xml version="1.0" encoding="utf-8"?>
<xdr:wsDr xmlns:xdr="http://schemas.openxmlformats.org/drawingml/2006/spreadsheetDrawing" xmlns:a="http://schemas.openxmlformats.org/drawingml/2006/main">
  <xdr:twoCellAnchor editAs="absolute">
    <xdr:from>
      <xdr:col>0</xdr:col>
      <xdr:colOff>1129417</xdr:colOff>
      <xdr:row>0</xdr:row>
      <xdr:rowOff>15240</xdr:rowOff>
    </xdr:from>
    <xdr:to>
      <xdr:col>18</xdr:col>
      <xdr:colOff>598999</xdr:colOff>
      <xdr:row>2</xdr:row>
      <xdr:rowOff>152400</xdr:rowOff>
    </xdr:to>
    <xdr:sp macro="" textlink="">
      <xdr:nvSpPr>
        <xdr:cNvPr id="2" name="Rectangle 1">
          <a:extLst>
            <a:ext uri="{FF2B5EF4-FFF2-40B4-BE49-F238E27FC236}">
              <a16:creationId xmlns:a16="http://schemas.microsoft.com/office/drawing/2014/main" id="{9204A211-B0DA-4DE4-70B2-520931A5C0D2}"/>
            </a:ext>
          </a:extLst>
        </xdr:cNvPr>
        <xdr:cNvSpPr/>
      </xdr:nvSpPr>
      <xdr:spPr>
        <a:xfrm>
          <a:off x="1129417" y="15240"/>
          <a:ext cx="11091739" cy="508221"/>
        </a:xfrm>
        <a:prstGeom prst="rect">
          <a:avLst/>
        </a:prstGeom>
        <a:solidFill>
          <a:srgbClr val="59C0E9"/>
        </a:solidFill>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algn="ctr"/>
          <a:r>
            <a:rPr lang="en-IN" sz="2800" b="1"/>
            <a:t>INCOME</a:t>
          </a:r>
          <a:r>
            <a:rPr lang="en-IN" sz="2800" baseline="0"/>
            <a:t> </a:t>
          </a:r>
          <a:r>
            <a:rPr lang="en-IN" sz="2800" baseline="0">
              <a:latin typeface="Times New Roman" panose="02020603050405020304" pitchFamily="18" charset="0"/>
              <a:cs typeface="Times New Roman" panose="02020603050405020304" pitchFamily="18" charset="0"/>
            </a:rPr>
            <a:t>TRACKER</a:t>
          </a:r>
          <a:r>
            <a:rPr lang="en-IN" sz="2800" baseline="0"/>
            <a:t> </a:t>
          </a:r>
          <a:r>
            <a:rPr lang="en-IN" sz="2800" b="1" baseline="0"/>
            <a:t>DASHBOARD 2026</a:t>
          </a:r>
          <a:endParaRPr lang="en-IN" sz="2800" b="1"/>
        </a:p>
      </xdr:txBody>
    </xdr:sp>
    <xdr:clientData/>
  </xdr:twoCellAnchor>
  <xdr:twoCellAnchor editAs="absolute">
    <xdr:from>
      <xdr:col>3</xdr:col>
      <xdr:colOff>51353</xdr:colOff>
      <xdr:row>3</xdr:row>
      <xdr:rowOff>0</xdr:rowOff>
    </xdr:from>
    <xdr:to>
      <xdr:col>18</xdr:col>
      <xdr:colOff>584753</xdr:colOff>
      <xdr:row>12</xdr:row>
      <xdr:rowOff>0</xdr:rowOff>
    </xdr:to>
    <xdr:sp macro="" textlink="">
      <xdr:nvSpPr>
        <xdr:cNvPr id="3" name="Rectangle 2">
          <a:extLst>
            <a:ext uri="{FF2B5EF4-FFF2-40B4-BE49-F238E27FC236}">
              <a16:creationId xmlns:a16="http://schemas.microsoft.com/office/drawing/2014/main" id="{77449D1E-DC7E-E23F-8135-B737339D2A1F}"/>
            </a:ext>
          </a:extLst>
        </xdr:cNvPr>
        <xdr:cNvSpPr/>
      </xdr:nvSpPr>
      <xdr:spPr>
        <a:xfrm>
          <a:off x="2516257" y="556591"/>
          <a:ext cx="9690653" cy="2087218"/>
        </a:xfrm>
        <a:prstGeom prst="rect">
          <a:avLst/>
        </a:prstGeom>
        <a:solidFill>
          <a:schemeClr val="accent1">
            <a:lumMod val="20000"/>
            <a:lumOff val="80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152400</xdr:colOff>
      <xdr:row>4</xdr:row>
      <xdr:rowOff>144780</xdr:rowOff>
    </xdr:from>
    <xdr:to>
      <xdr:col>0</xdr:col>
      <xdr:colOff>967740</xdr:colOff>
      <xdr:row>22</xdr:row>
      <xdr:rowOff>121920</xdr:rowOff>
    </xdr:to>
    <mc:AlternateContent xmlns:mc="http://schemas.openxmlformats.org/markup-compatibility/2006">
      <mc:Choice xmlns:a14="http://schemas.microsoft.com/office/drawing/2010/main" Requires="a14">
        <xdr:graphicFrame macro="">
          <xdr:nvGraphicFramePr>
            <xdr:cNvPr id="4" name="Month">
              <a:extLst>
                <a:ext uri="{FF2B5EF4-FFF2-40B4-BE49-F238E27FC236}">
                  <a16:creationId xmlns:a16="http://schemas.microsoft.com/office/drawing/2014/main" id="{DADD6C90-3D2A-41C1-BE06-AB85EF43D9BC}"/>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152400" y="933284"/>
              <a:ext cx="815340" cy="38202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3</xdr:col>
      <xdr:colOff>97073</xdr:colOff>
      <xdr:row>3</xdr:row>
      <xdr:rowOff>90108</xdr:rowOff>
    </xdr:from>
    <xdr:to>
      <xdr:col>4</xdr:col>
      <xdr:colOff>340913</xdr:colOff>
      <xdr:row>7</xdr:row>
      <xdr:rowOff>106484</xdr:rowOff>
    </xdr:to>
    <xdr:grpSp>
      <xdr:nvGrpSpPr>
        <xdr:cNvPr id="19" name="Group 18">
          <a:extLst>
            <a:ext uri="{FF2B5EF4-FFF2-40B4-BE49-F238E27FC236}">
              <a16:creationId xmlns:a16="http://schemas.microsoft.com/office/drawing/2014/main" id="{363462CC-D0BF-B9CA-0222-1DF2E4B913E8}"/>
            </a:ext>
          </a:extLst>
        </xdr:cNvPr>
        <xdr:cNvGrpSpPr/>
      </xdr:nvGrpSpPr>
      <xdr:grpSpPr>
        <a:xfrm>
          <a:off x="2561977" y="646699"/>
          <a:ext cx="853440" cy="944028"/>
          <a:chOff x="2103120" y="638748"/>
          <a:chExt cx="853440" cy="1028785"/>
        </a:xfrm>
      </xdr:grpSpPr>
      <xdr:grpSp>
        <xdr:nvGrpSpPr>
          <xdr:cNvPr id="49" name="Group 48">
            <a:extLst>
              <a:ext uri="{FF2B5EF4-FFF2-40B4-BE49-F238E27FC236}">
                <a16:creationId xmlns:a16="http://schemas.microsoft.com/office/drawing/2014/main" id="{0BC3962F-5F92-4D44-DEA8-EDF398DD59AE}"/>
              </a:ext>
            </a:extLst>
          </xdr:cNvPr>
          <xdr:cNvGrpSpPr/>
        </xdr:nvGrpSpPr>
        <xdr:grpSpPr>
          <a:xfrm>
            <a:off x="2202180" y="638748"/>
            <a:ext cx="693420" cy="702372"/>
            <a:chOff x="2202180" y="699708"/>
            <a:chExt cx="693420" cy="702372"/>
          </a:xfrm>
        </xdr:grpSpPr>
        <xdr:pic>
          <xdr:nvPicPr>
            <xdr:cNvPr id="40" name="Picture 39">
              <a:extLst>
                <a:ext uri="{FF2B5EF4-FFF2-40B4-BE49-F238E27FC236}">
                  <a16:creationId xmlns:a16="http://schemas.microsoft.com/office/drawing/2014/main" id="{7C32E8C2-3127-CA86-320B-EBE9A41F439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22540" y="699708"/>
              <a:ext cx="443520" cy="443520"/>
            </a:xfrm>
            <a:prstGeom prst="rect">
              <a:avLst/>
            </a:prstGeom>
          </xdr:spPr>
        </xdr:pic>
        <xdr:sp macro="" textlink="$B$5">
          <xdr:nvSpPr>
            <xdr:cNvPr id="41" name="TextBox 40">
              <a:extLst>
                <a:ext uri="{FF2B5EF4-FFF2-40B4-BE49-F238E27FC236}">
                  <a16:creationId xmlns:a16="http://schemas.microsoft.com/office/drawing/2014/main" id="{75B826AC-650F-36C0-A6FE-6A0439A8E8DA}"/>
                </a:ext>
              </a:extLst>
            </xdr:cNvPr>
            <xdr:cNvSpPr txBox="1"/>
          </xdr:nvSpPr>
          <xdr:spPr>
            <a:xfrm>
              <a:off x="2202180" y="1173480"/>
              <a:ext cx="693420" cy="228600"/>
            </a:xfrm>
            <a:prstGeom prst="rect">
              <a:avLst/>
            </a:prstGeom>
            <a:noFill/>
            <a:ln w="12700" cmpd="sng">
              <a:solidFill>
                <a:schemeClr val="accent1">
                  <a:lumMod val="40000"/>
                  <a:lumOff val="6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35C750A-D182-4472-99F1-0F7142E6CDB6}" type="TxLink">
                <a:rPr lang="en-US" sz="1100" b="1" i="0" u="none" strike="noStrike">
                  <a:solidFill>
                    <a:srgbClr val="000000"/>
                  </a:solidFill>
                  <a:latin typeface="Aptos Narrow"/>
                </a:rPr>
                <a:t>Salary</a:t>
              </a:fld>
              <a:endParaRPr lang="en-IN" sz="1100" b="1"/>
            </a:p>
          </xdr:txBody>
        </xdr:sp>
      </xdr:grpSp>
      <xdr:sp macro="" textlink="$C$5">
        <xdr:nvSpPr>
          <xdr:cNvPr id="59" name="TextBox 58">
            <a:extLst>
              <a:ext uri="{FF2B5EF4-FFF2-40B4-BE49-F238E27FC236}">
                <a16:creationId xmlns:a16="http://schemas.microsoft.com/office/drawing/2014/main" id="{C8D4BDE4-6958-E603-9B4E-4CBBD8EA77B9}"/>
              </a:ext>
            </a:extLst>
          </xdr:cNvPr>
          <xdr:cNvSpPr txBox="1"/>
        </xdr:nvSpPr>
        <xdr:spPr>
          <a:xfrm>
            <a:off x="2103120" y="1379220"/>
            <a:ext cx="853440" cy="2883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F0518179-07A0-47F2-9777-B08B371FBFFA}" type="TxLink">
              <a:rPr lang="en-US" sz="1100" b="1" i="0" u="none" strike="noStrike">
                <a:solidFill>
                  <a:srgbClr val="000000"/>
                </a:solidFill>
                <a:latin typeface="Aptos Narrow"/>
              </a:rPr>
              <a:pPr/>
              <a:t>614,400</a:t>
            </a:fld>
            <a:endParaRPr lang="en-IN" sz="1100" b="1"/>
          </a:p>
        </xdr:txBody>
      </xdr:sp>
    </xdr:grpSp>
    <xdr:clientData/>
  </xdr:twoCellAnchor>
  <xdr:twoCellAnchor editAs="absolute">
    <xdr:from>
      <xdr:col>6</xdr:col>
      <xdr:colOff>43733</xdr:colOff>
      <xdr:row>3</xdr:row>
      <xdr:rowOff>88596</xdr:rowOff>
    </xdr:from>
    <xdr:to>
      <xdr:col>7</xdr:col>
      <xdr:colOff>330753</xdr:colOff>
      <xdr:row>7</xdr:row>
      <xdr:rowOff>110107</xdr:rowOff>
    </xdr:to>
    <xdr:grpSp>
      <xdr:nvGrpSpPr>
        <xdr:cNvPr id="17" name="Group 16">
          <a:extLst>
            <a:ext uri="{FF2B5EF4-FFF2-40B4-BE49-F238E27FC236}">
              <a16:creationId xmlns:a16="http://schemas.microsoft.com/office/drawing/2014/main" id="{107F6F26-0B11-ABBF-4EEB-79DFDA398423}"/>
            </a:ext>
          </a:extLst>
        </xdr:cNvPr>
        <xdr:cNvGrpSpPr/>
      </xdr:nvGrpSpPr>
      <xdr:grpSpPr>
        <a:xfrm>
          <a:off x="4337437" y="645187"/>
          <a:ext cx="909873" cy="949163"/>
          <a:chOff x="3878580" y="637236"/>
          <a:chExt cx="911860" cy="1034378"/>
        </a:xfrm>
      </xdr:grpSpPr>
      <xdr:grpSp>
        <xdr:nvGrpSpPr>
          <xdr:cNvPr id="51" name="Group 50">
            <a:extLst>
              <a:ext uri="{FF2B5EF4-FFF2-40B4-BE49-F238E27FC236}">
                <a16:creationId xmlns:a16="http://schemas.microsoft.com/office/drawing/2014/main" id="{163BE992-508B-9540-0D23-DF3DB7A98B43}"/>
              </a:ext>
            </a:extLst>
          </xdr:cNvPr>
          <xdr:cNvGrpSpPr/>
        </xdr:nvGrpSpPr>
        <xdr:grpSpPr>
          <a:xfrm>
            <a:off x="3878580" y="637236"/>
            <a:ext cx="853440" cy="696264"/>
            <a:chOff x="4419600" y="698196"/>
            <a:chExt cx="853440" cy="696264"/>
          </a:xfrm>
        </xdr:grpSpPr>
        <xdr:pic>
          <xdr:nvPicPr>
            <xdr:cNvPr id="32" name="Picture 31">
              <a:extLst>
                <a:ext uri="{FF2B5EF4-FFF2-40B4-BE49-F238E27FC236}">
                  <a16:creationId xmlns:a16="http://schemas.microsoft.com/office/drawing/2014/main" id="{72CB262C-C45B-D996-1547-39A31FC4478B}"/>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628388" y="698196"/>
              <a:ext cx="448056" cy="448056"/>
            </a:xfrm>
            <a:prstGeom prst="rect">
              <a:avLst/>
            </a:prstGeom>
          </xdr:spPr>
        </xdr:pic>
        <xdr:sp macro="" textlink="$B$7">
          <xdr:nvSpPr>
            <xdr:cNvPr id="43" name="TextBox 42">
              <a:extLst>
                <a:ext uri="{FF2B5EF4-FFF2-40B4-BE49-F238E27FC236}">
                  <a16:creationId xmlns:a16="http://schemas.microsoft.com/office/drawing/2014/main" id="{E6E52554-EB62-D565-8F94-1CB1DA70A015}"/>
                </a:ext>
              </a:extLst>
            </xdr:cNvPr>
            <xdr:cNvSpPr txBox="1"/>
          </xdr:nvSpPr>
          <xdr:spPr>
            <a:xfrm>
              <a:off x="4419600" y="1181100"/>
              <a:ext cx="853440" cy="213360"/>
            </a:xfrm>
            <a:prstGeom prst="rect">
              <a:avLst/>
            </a:prstGeom>
            <a:noFill/>
            <a:ln w="12700" cmpd="sng">
              <a:solidFill>
                <a:schemeClr val="accent1">
                  <a:lumMod val="40000"/>
                  <a:lumOff val="6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28C694B-93F5-4528-9D83-5FC9D37ECA09}" type="TxLink">
                <a:rPr lang="en-US" sz="1100" b="1" i="0" u="none" strike="noStrike">
                  <a:solidFill>
                    <a:srgbClr val="000000"/>
                  </a:solidFill>
                  <a:latin typeface="Aptos Narrow"/>
                </a:rPr>
                <a:t>Interest</a:t>
              </a:fld>
              <a:endParaRPr lang="en-IN" sz="1100" b="1"/>
            </a:p>
          </xdr:txBody>
        </xdr:sp>
      </xdr:grpSp>
      <xdr:sp macro="" textlink="$C$7">
        <xdr:nvSpPr>
          <xdr:cNvPr id="5" name="TextBox 4">
            <a:extLst>
              <a:ext uri="{FF2B5EF4-FFF2-40B4-BE49-F238E27FC236}">
                <a16:creationId xmlns:a16="http://schemas.microsoft.com/office/drawing/2014/main" id="{5399FEB4-E396-4877-8FAE-9F5A0C55DBF4}"/>
              </a:ext>
            </a:extLst>
          </xdr:cNvPr>
          <xdr:cNvSpPr txBox="1"/>
        </xdr:nvSpPr>
        <xdr:spPr>
          <a:xfrm>
            <a:off x="3937000" y="1379220"/>
            <a:ext cx="853440" cy="29239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8C4DE1F7-9C0F-4267-9840-946F6D019CD8}" type="TxLink">
              <a:rPr lang="en-US" sz="1100" b="1" i="0" u="none" strike="noStrike">
                <a:solidFill>
                  <a:srgbClr val="000000"/>
                </a:solidFill>
                <a:latin typeface="Aptos Narrow"/>
              </a:rPr>
              <a:t>46,041</a:t>
            </a:fld>
            <a:endParaRPr lang="en-IN" sz="1100" b="1"/>
          </a:p>
        </xdr:txBody>
      </xdr:sp>
    </xdr:grpSp>
    <xdr:clientData/>
  </xdr:twoCellAnchor>
  <xdr:twoCellAnchor editAs="absolute">
    <xdr:from>
      <xdr:col>4</xdr:col>
      <xdr:colOff>340913</xdr:colOff>
      <xdr:row>3</xdr:row>
      <xdr:rowOff>89352</xdr:rowOff>
    </xdr:from>
    <xdr:to>
      <xdr:col>6</xdr:col>
      <xdr:colOff>38653</xdr:colOff>
      <xdr:row>7</xdr:row>
      <xdr:rowOff>106423</xdr:rowOff>
    </xdr:to>
    <xdr:grpSp>
      <xdr:nvGrpSpPr>
        <xdr:cNvPr id="18" name="Group 17">
          <a:extLst>
            <a:ext uri="{FF2B5EF4-FFF2-40B4-BE49-F238E27FC236}">
              <a16:creationId xmlns:a16="http://schemas.microsoft.com/office/drawing/2014/main" id="{1CCCD21D-FED9-A705-A073-DBE17F9A9F25}"/>
            </a:ext>
          </a:extLst>
        </xdr:cNvPr>
        <xdr:cNvGrpSpPr/>
      </xdr:nvGrpSpPr>
      <xdr:grpSpPr>
        <a:xfrm>
          <a:off x="3415417" y="645943"/>
          <a:ext cx="916940" cy="944723"/>
          <a:chOff x="2956560" y="637992"/>
          <a:chExt cx="916940" cy="1029541"/>
        </a:xfrm>
      </xdr:grpSpPr>
      <xdr:grpSp>
        <xdr:nvGrpSpPr>
          <xdr:cNvPr id="50" name="Group 49">
            <a:extLst>
              <a:ext uri="{FF2B5EF4-FFF2-40B4-BE49-F238E27FC236}">
                <a16:creationId xmlns:a16="http://schemas.microsoft.com/office/drawing/2014/main" id="{694C1FB8-A57F-9BC9-8500-E0579675DDF9}"/>
              </a:ext>
            </a:extLst>
          </xdr:cNvPr>
          <xdr:cNvGrpSpPr/>
        </xdr:nvGrpSpPr>
        <xdr:grpSpPr>
          <a:xfrm>
            <a:off x="2956560" y="637992"/>
            <a:ext cx="853440" cy="687888"/>
            <a:chOff x="3063240" y="683712"/>
            <a:chExt cx="853440" cy="687888"/>
          </a:xfrm>
        </xdr:grpSpPr>
        <xdr:pic>
          <xdr:nvPicPr>
            <xdr:cNvPr id="30" name="Picture 29">
              <a:extLst>
                <a:ext uri="{FF2B5EF4-FFF2-40B4-BE49-F238E27FC236}">
                  <a16:creationId xmlns:a16="http://schemas.microsoft.com/office/drawing/2014/main" id="{3FA26526-F195-4967-2F18-A3B531C0ADF9}"/>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252216" y="683712"/>
              <a:ext cx="448056" cy="448056"/>
            </a:xfrm>
            <a:prstGeom prst="rect">
              <a:avLst/>
            </a:prstGeom>
          </xdr:spPr>
        </xdr:pic>
        <xdr:sp macro="" textlink="$B$6">
          <xdr:nvSpPr>
            <xdr:cNvPr id="42" name="TextBox 41">
              <a:extLst>
                <a:ext uri="{FF2B5EF4-FFF2-40B4-BE49-F238E27FC236}">
                  <a16:creationId xmlns:a16="http://schemas.microsoft.com/office/drawing/2014/main" id="{8FF7B8AD-C1E3-4755-86C9-193F3E8E99E5}"/>
                </a:ext>
              </a:extLst>
            </xdr:cNvPr>
            <xdr:cNvSpPr txBox="1"/>
          </xdr:nvSpPr>
          <xdr:spPr>
            <a:xfrm>
              <a:off x="3063240" y="1158240"/>
              <a:ext cx="853440" cy="213360"/>
            </a:xfrm>
            <a:prstGeom prst="rect">
              <a:avLst/>
            </a:prstGeom>
            <a:noFill/>
            <a:ln w="12700" cmpd="sng">
              <a:solidFill>
                <a:schemeClr val="accent1">
                  <a:lumMod val="40000"/>
                  <a:lumOff val="6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5954015-0417-44C1-9E8A-AD31DA861E84}" type="TxLink">
                <a:rPr lang="en-US" sz="1100" b="1" i="0" u="none" strike="noStrike">
                  <a:solidFill>
                    <a:srgbClr val="000000"/>
                  </a:solidFill>
                  <a:latin typeface="Aptos Narrow"/>
                </a:rPr>
                <a:t>Freelancer</a:t>
              </a:fld>
              <a:endParaRPr lang="en-IN" sz="1100" b="1"/>
            </a:p>
          </xdr:txBody>
        </xdr:sp>
      </xdr:grpSp>
      <xdr:sp macro="" textlink="$C$6">
        <xdr:nvSpPr>
          <xdr:cNvPr id="6" name="TextBox 5">
            <a:extLst>
              <a:ext uri="{FF2B5EF4-FFF2-40B4-BE49-F238E27FC236}">
                <a16:creationId xmlns:a16="http://schemas.microsoft.com/office/drawing/2014/main" id="{392477A2-5342-596C-552E-3F400B81B11C}"/>
              </a:ext>
            </a:extLst>
          </xdr:cNvPr>
          <xdr:cNvSpPr txBox="1"/>
        </xdr:nvSpPr>
        <xdr:spPr>
          <a:xfrm>
            <a:off x="3020060" y="1379220"/>
            <a:ext cx="853440" cy="2883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124B58FC-527D-4397-B51D-B77D0E6B8406}" type="TxLink">
              <a:rPr lang="en-US" sz="1100" b="1" i="0" u="none" strike="noStrike">
                <a:solidFill>
                  <a:srgbClr val="000000"/>
                </a:solidFill>
                <a:latin typeface="Aptos Narrow"/>
              </a:rPr>
              <a:t>635,552</a:t>
            </a:fld>
            <a:endParaRPr lang="en-IN" sz="1100" b="1"/>
          </a:p>
        </xdr:txBody>
      </xdr:sp>
    </xdr:grpSp>
    <xdr:clientData/>
  </xdr:twoCellAnchor>
  <xdr:twoCellAnchor editAs="absolute">
    <xdr:from>
      <xdr:col>7</xdr:col>
      <xdr:colOff>310433</xdr:colOff>
      <xdr:row>3</xdr:row>
      <xdr:rowOff>95460</xdr:rowOff>
    </xdr:from>
    <xdr:to>
      <xdr:col>9</xdr:col>
      <xdr:colOff>28493</xdr:colOff>
      <xdr:row>7</xdr:row>
      <xdr:rowOff>110690</xdr:rowOff>
    </xdr:to>
    <xdr:grpSp>
      <xdr:nvGrpSpPr>
        <xdr:cNvPr id="16" name="Group 15">
          <a:extLst>
            <a:ext uri="{FF2B5EF4-FFF2-40B4-BE49-F238E27FC236}">
              <a16:creationId xmlns:a16="http://schemas.microsoft.com/office/drawing/2014/main" id="{BD708C62-8A06-608C-DA35-35E753CE032B}"/>
            </a:ext>
          </a:extLst>
        </xdr:cNvPr>
        <xdr:cNvGrpSpPr/>
      </xdr:nvGrpSpPr>
      <xdr:grpSpPr>
        <a:xfrm>
          <a:off x="5226990" y="652051"/>
          <a:ext cx="937260" cy="942882"/>
          <a:chOff x="4770120" y="644100"/>
          <a:chExt cx="937260" cy="1027545"/>
        </a:xfrm>
      </xdr:grpSpPr>
      <xdr:grpSp>
        <xdr:nvGrpSpPr>
          <xdr:cNvPr id="52" name="Group 51">
            <a:extLst>
              <a:ext uri="{FF2B5EF4-FFF2-40B4-BE49-F238E27FC236}">
                <a16:creationId xmlns:a16="http://schemas.microsoft.com/office/drawing/2014/main" id="{6FCC0281-3125-CB1F-AC44-1A63EA8FED3D}"/>
              </a:ext>
            </a:extLst>
          </xdr:cNvPr>
          <xdr:cNvGrpSpPr/>
        </xdr:nvGrpSpPr>
        <xdr:grpSpPr>
          <a:xfrm>
            <a:off x="4770120" y="644100"/>
            <a:ext cx="853440" cy="689400"/>
            <a:chOff x="6004560" y="872700"/>
            <a:chExt cx="853440" cy="689400"/>
          </a:xfrm>
        </xdr:grpSpPr>
        <xdr:pic>
          <xdr:nvPicPr>
            <xdr:cNvPr id="26" name="Picture 25">
              <a:extLst>
                <a:ext uri="{FF2B5EF4-FFF2-40B4-BE49-F238E27FC236}">
                  <a16:creationId xmlns:a16="http://schemas.microsoft.com/office/drawing/2014/main" id="{6A94BE36-4199-97D0-FB72-33AA2BC53104}"/>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6210300" y="872700"/>
              <a:ext cx="448056" cy="448056"/>
            </a:xfrm>
            <a:prstGeom prst="rect">
              <a:avLst/>
            </a:prstGeom>
          </xdr:spPr>
        </xdr:pic>
        <xdr:sp macro="" textlink="$B$8">
          <xdr:nvSpPr>
            <xdr:cNvPr id="44" name="TextBox 43">
              <a:extLst>
                <a:ext uri="{FF2B5EF4-FFF2-40B4-BE49-F238E27FC236}">
                  <a16:creationId xmlns:a16="http://schemas.microsoft.com/office/drawing/2014/main" id="{96DC4251-00B3-387C-A80F-B3944CEF3BEF}"/>
                </a:ext>
              </a:extLst>
            </xdr:cNvPr>
            <xdr:cNvSpPr txBox="1"/>
          </xdr:nvSpPr>
          <xdr:spPr>
            <a:xfrm>
              <a:off x="6004560" y="1348740"/>
              <a:ext cx="853440" cy="213360"/>
            </a:xfrm>
            <a:prstGeom prst="rect">
              <a:avLst/>
            </a:prstGeom>
            <a:noFill/>
            <a:ln w="12700" cmpd="sng">
              <a:solidFill>
                <a:schemeClr val="accent1">
                  <a:lumMod val="40000"/>
                  <a:lumOff val="6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6329F14-5529-4AF4-9D98-52FFB44DB15E}" type="TxLink">
                <a:rPr lang="en-US" sz="1100" b="1" i="0" u="none" strike="noStrike">
                  <a:solidFill>
                    <a:srgbClr val="000000"/>
                  </a:solidFill>
                  <a:latin typeface="Aptos Narrow"/>
                </a:rPr>
                <a:t>Bonus</a:t>
              </a:fld>
              <a:endParaRPr lang="en-IN" sz="1100" b="1"/>
            </a:p>
          </xdr:txBody>
        </xdr:sp>
      </xdr:grpSp>
      <xdr:sp macro="" textlink="$C$8">
        <xdr:nvSpPr>
          <xdr:cNvPr id="7" name="TextBox 6">
            <a:extLst>
              <a:ext uri="{FF2B5EF4-FFF2-40B4-BE49-F238E27FC236}">
                <a16:creationId xmlns:a16="http://schemas.microsoft.com/office/drawing/2014/main" id="{26F63181-1489-8F48-6828-D76B6864DAEB}"/>
              </a:ext>
            </a:extLst>
          </xdr:cNvPr>
          <xdr:cNvSpPr txBox="1"/>
        </xdr:nvSpPr>
        <xdr:spPr>
          <a:xfrm>
            <a:off x="4853940" y="1379220"/>
            <a:ext cx="853440" cy="2924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B0F47633-FF46-48BF-AD22-1F444A8E9856}" type="TxLink">
              <a:rPr lang="en-US" sz="1100" b="1" i="0" u="none" strike="noStrike">
                <a:solidFill>
                  <a:srgbClr val="000000"/>
                </a:solidFill>
                <a:latin typeface="Aptos Narrow"/>
              </a:rPr>
              <a:t>92,260</a:t>
            </a:fld>
            <a:endParaRPr lang="en-IN" sz="1100" b="1"/>
          </a:p>
        </xdr:txBody>
      </xdr:sp>
    </xdr:grpSp>
    <xdr:clientData/>
  </xdr:twoCellAnchor>
  <xdr:twoCellAnchor editAs="absolute">
    <xdr:from>
      <xdr:col>3</xdr:col>
      <xdr:colOff>104693</xdr:colOff>
      <xdr:row>7</xdr:row>
      <xdr:rowOff>160439</xdr:rowOff>
    </xdr:from>
    <xdr:to>
      <xdr:col>4</xdr:col>
      <xdr:colOff>409493</xdr:colOff>
      <xdr:row>11</xdr:row>
      <xdr:rowOff>147589</xdr:rowOff>
    </xdr:to>
    <xdr:grpSp>
      <xdr:nvGrpSpPr>
        <xdr:cNvPr id="12" name="Group 11">
          <a:extLst>
            <a:ext uri="{FF2B5EF4-FFF2-40B4-BE49-F238E27FC236}">
              <a16:creationId xmlns:a16="http://schemas.microsoft.com/office/drawing/2014/main" id="{A2835EFC-E1FB-E900-406E-5B9DE4FB2D67}"/>
            </a:ext>
          </a:extLst>
        </xdr:cNvPr>
        <xdr:cNvGrpSpPr/>
      </xdr:nvGrpSpPr>
      <xdr:grpSpPr>
        <a:xfrm>
          <a:off x="2569597" y="1644682"/>
          <a:ext cx="914400" cy="914803"/>
          <a:chOff x="2110740" y="1722540"/>
          <a:chExt cx="914400" cy="996999"/>
        </a:xfrm>
      </xdr:grpSpPr>
      <xdr:grpSp>
        <xdr:nvGrpSpPr>
          <xdr:cNvPr id="58" name="Group 57">
            <a:extLst>
              <a:ext uri="{FF2B5EF4-FFF2-40B4-BE49-F238E27FC236}">
                <a16:creationId xmlns:a16="http://schemas.microsoft.com/office/drawing/2014/main" id="{7BD5C69D-ECA5-C560-F51B-6D424CC146A7}"/>
              </a:ext>
            </a:extLst>
          </xdr:cNvPr>
          <xdr:cNvGrpSpPr/>
        </xdr:nvGrpSpPr>
        <xdr:grpSpPr>
          <a:xfrm>
            <a:off x="2110740" y="1722540"/>
            <a:ext cx="914400" cy="693000"/>
            <a:chOff x="2110740" y="1722540"/>
            <a:chExt cx="914400" cy="693000"/>
          </a:xfrm>
        </xdr:grpSpPr>
        <xdr:pic>
          <xdr:nvPicPr>
            <xdr:cNvPr id="34" name="Picture 33">
              <a:extLst>
                <a:ext uri="{FF2B5EF4-FFF2-40B4-BE49-F238E27FC236}">
                  <a16:creationId xmlns:a16="http://schemas.microsoft.com/office/drawing/2014/main" id="{69C4F5B2-BF87-5ADB-C629-15CA6E686A4B}"/>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2306880" y="1722540"/>
              <a:ext cx="448056" cy="448056"/>
            </a:xfrm>
            <a:prstGeom prst="rect">
              <a:avLst/>
            </a:prstGeom>
          </xdr:spPr>
        </xdr:pic>
        <xdr:sp macro="" textlink="$B$9">
          <xdr:nvSpPr>
            <xdr:cNvPr id="45" name="TextBox 44">
              <a:extLst>
                <a:ext uri="{FF2B5EF4-FFF2-40B4-BE49-F238E27FC236}">
                  <a16:creationId xmlns:a16="http://schemas.microsoft.com/office/drawing/2014/main" id="{F49E53C3-0193-BF21-F4F4-51D1A715FA45}"/>
                </a:ext>
              </a:extLst>
            </xdr:cNvPr>
            <xdr:cNvSpPr txBox="1"/>
          </xdr:nvSpPr>
          <xdr:spPr>
            <a:xfrm>
              <a:off x="2110740" y="2186940"/>
              <a:ext cx="914400" cy="228600"/>
            </a:xfrm>
            <a:prstGeom prst="rect">
              <a:avLst/>
            </a:prstGeom>
            <a:noFill/>
            <a:ln w="12700" cmpd="sng">
              <a:solidFill>
                <a:schemeClr val="accent1">
                  <a:lumMod val="40000"/>
                  <a:lumOff val="6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E94F31A-F6B6-4ADB-8831-968CF72301CA}" type="TxLink">
                <a:rPr lang="en-US" sz="1100" b="1" i="0" u="none" strike="noStrike">
                  <a:solidFill>
                    <a:srgbClr val="000000"/>
                  </a:solidFill>
                  <a:latin typeface="Aptos Narrow"/>
                </a:rPr>
                <a:t>Investment</a:t>
              </a:fld>
              <a:endParaRPr lang="en-IN" sz="1100" b="1"/>
            </a:p>
          </xdr:txBody>
        </xdr:sp>
      </xdr:grpSp>
      <xdr:sp macro="" textlink="$C$9">
        <xdr:nvSpPr>
          <xdr:cNvPr id="8" name="TextBox 7">
            <a:extLst>
              <a:ext uri="{FF2B5EF4-FFF2-40B4-BE49-F238E27FC236}">
                <a16:creationId xmlns:a16="http://schemas.microsoft.com/office/drawing/2014/main" id="{4FC92D72-6BFB-FAF9-44C6-697592D76A01}"/>
              </a:ext>
            </a:extLst>
          </xdr:cNvPr>
          <xdr:cNvSpPr txBox="1"/>
        </xdr:nvSpPr>
        <xdr:spPr>
          <a:xfrm>
            <a:off x="2133600" y="2426970"/>
            <a:ext cx="853440" cy="2925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1D2D6E85-7493-4710-95B4-D34E522BF3C1}" type="TxLink">
              <a:rPr lang="en-US" sz="1100" b="1" i="0" u="none" strike="noStrike">
                <a:solidFill>
                  <a:srgbClr val="000000"/>
                </a:solidFill>
                <a:latin typeface="Aptos Narrow"/>
              </a:rPr>
              <a:t>36,291</a:t>
            </a:fld>
            <a:endParaRPr lang="en-IN" sz="1100" b="1"/>
          </a:p>
        </xdr:txBody>
      </xdr:sp>
    </xdr:grpSp>
    <xdr:clientData/>
  </xdr:twoCellAnchor>
  <xdr:twoCellAnchor editAs="absolute">
    <xdr:from>
      <xdr:col>4</xdr:col>
      <xdr:colOff>422193</xdr:colOff>
      <xdr:row>7</xdr:row>
      <xdr:rowOff>152820</xdr:rowOff>
    </xdr:from>
    <xdr:to>
      <xdr:col>6</xdr:col>
      <xdr:colOff>81833</xdr:colOff>
      <xdr:row>11</xdr:row>
      <xdr:rowOff>146942</xdr:rowOff>
    </xdr:to>
    <xdr:grpSp>
      <xdr:nvGrpSpPr>
        <xdr:cNvPr id="13" name="Group 12">
          <a:extLst>
            <a:ext uri="{FF2B5EF4-FFF2-40B4-BE49-F238E27FC236}">
              <a16:creationId xmlns:a16="http://schemas.microsoft.com/office/drawing/2014/main" id="{84A421C4-CD30-0C3C-558B-78598012AA1B}"/>
            </a:ext>
          </a:extLst>
        </xdr:cNvPr>
        <xdr:cNvGrpSpPr/>
      </xdr:nvGrpSpPr>
      <xdr:grpSpPr>
        <a:xfrm>
          <a:off x="3496697" y="1637063"/>
          <a:ext cx="878840" cy="921775"/>
          <a:chOff x="3037840" y="1714920"/>
          <a:chExt cx="878840" cy="1004582"/>
        </a:xfrm>
      </xdr:grpSpPr>
      <xdr:grpSp>
        <xdr:nvGrpSpPr>
          <xdr:cNvPr id="54" name="Group 53">
            <a:extLst>
              <a:ext uri="{FF2B5EF4-FFF2-40B4-BE49-F238E27FC236}">
                <a16:creationId xmlns:a16="http://schemas.microsoft.com/office/drawing/2014/main" id="{4FAFBC4D-48CE-4F28-69D8-D49AFC7F3CF9}"/>
              </a:ext>
            </a:extLst>
          </xdr:cNvPr>
          <xdr:cNvGrpSpPr/>
        </xdr:nvGrpSpPr>
        <xdr:grpSpPr>
          <a:xfrm>
            <a:off x="3063240" y="1714920"/>
            <a:ext cx="853440" cy="700620"/>
            <a:chOff x="9052560" y="1090080"/>
            <a:chExt cx="853440" cy="700620"/>
          </a:xfrm>
        </xdr:grpSpPr>
        <xdr:pic>
          <xdr:nvPicPr>
            <xdr:cNvPr id="38" name="Picture 37">
              <a:extLst>
                <a:ext uri="{FF2B5EF4-FFF2-40B4-BE49-F238E27FC236}">
                  <a16:creationId xmlns:a16="http://schemas.microsoft.com/office/drawing/2014/main" id="{AE99D46F-BEDE-2241-72F5-AEA7DC4B05E6}"/>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9200300" y="1090080"/>
              <a:ext cx="448056" cy="448056"/>
            </a:xfrm>
            <a:prstGeom prst="rect">
              <a:avLst/>
            </a:prstGeom>
          </xdr:spPr>
        </xdr:pic>
        <xdr:sp macro="" textlink="$B$10">
          <xdr:nvSpPr>
            <xdr:cNvPr id="46" name="TextBox 45">
              <a:extLst>
                <a:ext uri="{FF2B5EF4-FFF2-40B4-BE49-F238E27FC236}">
                  <a16:creationId xmlns:a16="http://schemas.microsoft.com/office/drawing/2014/main" id="{D07B6878-3794-FA8B-81CF-54357A0D4973}"/>
                </a:ext>
              </a:extLst>
            </xdr:cNvPr>
            <xdr:cNvSpPr txBox="1"/>
          </xdr:nvSpPr>
          <xdr:spPr>
            <a:xfrm>
              <a:off x="9052560" y="1577340"/>
              <a:ext cx="853440" cy="213360"/>
            </a:xfrm>
            <a:prstGeom prst="rect">
              <a:avLst/>
            </a:prstGeom>
            <a:noFill/>
            <a:ln w="12700" cmpd="sng">
              <a:solidFill>
                <a:schemeClr val="accent1">
                  <a:lumMod val="40000"/>
                  <a:lumOff val="6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E96472B-5956-445E-BF8F-BC383D5AD90F}" type="TxLink">
                <a:rPr lang="en-US" sz="1100" b="1" i="0" u="none" strike="noStrike">
                  <a:solidFill>
                    <a:srgbClr val="000000"/>
                  </a:solidFill>
                  <a:latin typeface="Aptos Narrow"/>
                </a:rPr>
                <a:t>Overtime</a:t>
              </a:fld>
              <a:endParaRPr lang="en-IN" sz="1100" b="1"/>
            </a:p>
          </xdr:txBody>
        </xdr:sp>
      </xdr:grpSp>
      <xdr:sp macro="" textlink="$C$10">
        <xdr:nvSpPr>
          <xdr:cNvPr id="9" name="TextBox 8">
            <a:extLst>
              <a:ext uri="{FF2B5EF4-FFF2-40B4-BE49-F238E27FC236}">
                <a16:creationId xmlns:a16="http://schemas.microsoft.com/office/drawing/2014/main" id="{E286FA71-79B0-769F-43C5-798383078B06}"/>
              </a:ext>
            </a:extLst>
          </xdr:cNvPr>
          <xdr:cNvSpPr txBox="1"/>
        </xdr:nvSpPr>
        <xdr:spPr>
          <a:xfrm>
            <a:off x="3037840" y="2426970"/>
            <a:ext cx="853440" cy="2925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36AAE7D5-3C15-427D-8099-8124A981C7EE}" type="TxLink">
              <a:rPr lang="en-US" sz="1100" b="1" i="0" u="none" strike="noStrike">
                <a:solidFill>
                  <a:srgbClr val="000000"/>
                </a:solidFill>
                <a:latin typeface="Aptos Narrow"/>
              </a:rPr>
              <a:t>44,960</a:t>
            </a:fld>
            <a:endParaRPr lang="en-IN" sz="1100" b="1"/>
          </a:p>
        </xdr:txBody>
      </xdr:sp>
    </xdr:grpSp>
    <xdr:clientData/>
  </xdr:twoCellAnchor>
  <xdr:twoCellAnchor editAs="absolute">
    <xdr:from>
      <xdr:col>7</xdr:col>
      <xdr:colOff>386633</xdr:colOff>
      <xdr:row>7</xdr:row>
      <xdr:rowOff>152820</xdr:rowOff>
    </xdr:from>
    <xdr:to>
      <xdr:col>9</xdr:col>
      <xdr:colOff>20873</xdr:colOff>
      <xdr:row>11</xdr:row>
      <xdr:rowOff>146943</xdr:rowOff>
    </xdr:to>
    <xdr:grpSp>
      <xdr:nvGrpSpPr>
        <xdr:cNvPr id="15" name="Group 14">
          <a:extLst>
            <a:ext uri="{FF2B5EF4-FFF2-40B4-BE49-F238E27FC236}">
              <a16:creationId xmlns:a16="http://schemas.microsoft.com/office/drawing/2014/main" id="{62AF7811-4D3F-B415-25ED-10230EBEDC5A}"/>
            </a:ext>
          </a:extLst>
        </xdr:cNvPr>
        <xdr:cNvGrpSpPr/>
      </xdr:nvGrpSpPr>
      <xdr:grpSpPr>
        <a:xfrm>
          <a:off x="5303190" y="1637063"/>
          <a:ext cx="853440" cy="921776"/>
          <a:chOff x="4846320" y="1714919"/>
          <a:chExt cx="853440" cy="1004583"/>
        </a:xfrm>
      </xdr:grpSpPr>
      <xdr:grpSp>
        <xdr:nvGrpSpPr>
          <xdr:cNvPr id="57" name="Group 56">
            <a:extLst>
              <a:ext uri="{FF2B5EF4-FFF2-40B4-BE49-F238E27FC236}">
                <a16:creationId xmlns:a16="http://schemas.microsoft.com/office/drawing/2014/main" id="{613CE9A4-D0DC-28A4-B7D5-59C3B47DDDCA}"/>
              </a:ext>
            </a:extLst>
          </xdr:cNvPr>
          <xdr:cNvGrpSpPr/>
        </xdr:nvGrpSpPr>
        <xdr:grpSpPr>
          <a:xfrm>
            <a:off x="4846320" y="1714919"/>
            <a:ext cx="754380" cy="708241"/>
            <a:chOff x="4846320" y="1714919"/>
            <a:chExt cx="754380" cy="708241"/>
          </a:xfrm>
        </xdr:grpSpPr>
        <xdr:pic>
          <xdr:nvPicPr>
            <xdr:cNvPr id="28" name="Picture 27">
              <a:extLst>
                <a:ext uri="{FF2B5EF4-FFF2-40B4-BE49-F238E27FC236}">
                  <a16:creationId xmlns:a16="http://schemas.microsoft.com/office/drawing/2014/main" id="{4C7702EC-0CBC-ACA5-0D0C-A560D0A758A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5042040" y="1714919"/>
              <a:ext cx="448056" cy="448055"/>
            </a:xfrm>
            <a:prstGeom prst="rect">
              <a:avLst/>
            </a:prstGeom>
          </xdr:spPr>
        </xdr:pic>
        <xdr:sp macro="" textlink="$B$12">
          <xdr:nvSpPr>
            <xdr:cNvPr id="48" name="TextBox 47">
              <a:extLst>
                <a:ext uri="{FF2B5EF4-FFF2-40B4-BE49-F238E27FC236}">
                  <a16:creationId xmlns:a16="http://schemas.microsoft.com/office/drawing/2014/main" id="{49AC2192-52F7-4E1B-953D-0231A6AE4AB8}"/>
                </a:ext>
              </a:extLst>
            </xdr:cNvPr>
            <xdr:cNvSpPr txBox="1"/>
          </xdr:nvSpPr>
          <xdr:spPr>
            <a:xfrm>
              <a:off x="4846320" y="2209800"/>
              <a:ext cx="754380" cy="213360"/>
            </a:xfrm>
            <a:prstGeom prst="rect">
              <a:avLst/>
            </a:prstGeom>
            <a:noFill/>
            <a:ln w="12700" cmpd="sng">
              <a:solidFill>
                <a:schemeClr val="accent1">
                  <a:lumMod val="40000"/>
                  <a:lumOff val="6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4BDA1AB-5626-4417-87EA-314A3435A52E}" type="TxLink">
                <a:rPr lang="en-US" sz="1100" b="1" i="0" u="none" strike="noStrike">
                  <a:solidFill>
                    <a:srgbClr val="000000"/>
                  </a:solidFill>
                  <a:latin typeface="Aptos Narrow"/>
                </a:rPr>
                <a:t>Dividend</a:t>
              </a:fld>
              <a:endParaRPr lang="en-IN" sz="1100" b="1"/>
            </a:p>
          </xdr:txBody>
        </xdr:sp>
      </xdr:grpSp>
      <xdr:sp macro="" textlink="$C$12">
        <xdr:nvSpPr>
          <xdr:cNvPr id="10" name="TextBox 9">
            <a:extLst>
              <a:ext uri="{FF2B5EF4-FFF2-40B4-BE49-F238E27FC236}">
                <a16:creationId xmlns:a16="http://schemas.microsoft.com/office/drawing/2014/main" id="{88892A4F-1938-3F30-69DA-A6D4845B7476}"/>
              </a:ext>
            </a:extLst>
          </xdr:cNvPr>
          <xdr:cNvSpPr txBox="1"/>
        </xdr:nvSpPr>
        <xdr:spPr>
          <a:xfrm>
            <a:off x="4846320" y="2426970"/>
            <a:ext cx="853440" cy="2925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49CC4400-98D6-4BE9-AA67-E7EA576956E2}" type="TxLink">
              <a:rPr lang="en-US" sz="1100" b="1" i="0" u="none" strike="noStrike">
                <a:solidFill>
                  <a:srgbClr val="000000"/>
                </a:solidFill>
                <a:latin typeface="Aptos Narrow"/>
              </a:rPr>
              <a:t>28,021</a:t>
            </a:fld>
            <a:endParaRPr lang="en-IN" sz="1100" b="1"/>
          </a:p>
        </xdr:txBody>
      </xdr:sp>
    </xdr:grpSp>
    <xdr:clientData/>
  </xdr:twoCellAnchor>
  <xdr:twoCellAnchor editAs="absolute">
    <xdr:from>
      <xdr:col>6</xdr:col>
      <xdr:colOff>107233</xdr:colOff>
      <xdr:row>7</xdr:row>
      <xdr:rowOff>168059</xdr:rowOff>
    </xdr:from>
    <xdr:to>
      <xdr:col>7</xdr:col>
      <xdr:colOff>348533</xdr:colOff>
      <xdr:row>11</xdr:row>
      <xdr:rowOff>148239</xdr:rowOff>
    </xdr:to>
    <xdr:grpSp>
      <xdr:nvGrpSpPr>
        <xdr:cNvPr id="14" name="Group 13">
          <a:extLst>
            <a:ext uri="{FF2B5EF4-FFF2-40B4-BE49-F238E27FC236}">
              <a16:creationId xmlns:a16="http://schemas.microsoft.com/office/drawing/2014/main" id="{C0A054AC-5067-D1A8-122C-10102A0E8ED3}"/>
            </a:ext>
          </a:extLst>
        </xdr:cNvPr>
        <xdr:cNvGrpSpPr/>
      </xdr:nvGrpSpPr>
      <xdr:grpSpPr>
        <a:xfrm>
          <a:off x="4400937" y="1652302"/>
          <a:ext cx="864153" cy="907833"/>
          <a:chOff x="3942080" y="1730160"/>
          <a:chExt cx="866140" cy="989417"/>
        </a:xfrm>
      </xdr:grpSpPr>
      <xdr:grpSp>
        <xdr:nvGrpSpPr>
          <xdr:cNvPr id="55" name="Group 54">
            <a:extLst>
              <a:ext uri="{FF2B5EF4-FFF2-40B4-BE49-F238E27FC236}">
                <a16:creationId xmlns:a16="http://schemas.microsoft.com/office/drawing/2014/main" id="{264B240B-193D-EC08-84FF-8620A4133367}"/>
              </a:ext>
            </a:extLst>
          </xdr:cNvPr>
          <xdr:cNvGrpSpPr/>
        </xdr:nvGrpSpPr>
        <xdr:grpSpPr>
          <a:xfrm>
            <a:off x="3954780" y="1730160"/>
            <a:ext cx="853440" cy="685380"/>
            <a:chOff x="10157460" y="891960"/>
            <a:chExt cx="853440" cy="685380"/>
          </a:xfrm>
        </xdr:grpSpPr>
        <xdr:pic>
          <xdr:nvPicPr>
            <xdr:cNvPr id="36" name="Picture 35">
              <a:extLst>
                <a:ext uri="{FF2B5EF4-FFF2-40B4-BE49-F238E27FC236}">
                  <a16:creationId xmlns:a16="http://schemas.microsoft.com/office/drawing/2014/main" id="{C9B8A342-2879-3557-B1D5-3F8CEE423EC5}"/>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10348240" y="891960"/>
              <a:ext cx="448056" cy="448056"/>
            </a:xfrm>
            <a:prstGeom prst="rect">
              <a:avLst/>
            </a:prstGeom>
          </xdr:spPr>
        </xdr:pic>
        <xdr:sp macro="" textlink="$B$11">
          <xdr:nvSpPr>
            <xdr:cNvPr id="47" name="TextBox 46">
              <a:extLst>
                <a:ext uri="{FF2B5EF4-FFF2-40B4-BE49-F238E27FC236}">
                  <a16:creationId xmlns:a16="http://schemas.microsoft.com/office/drawing/2014/main" id="{658A727C-D24C-B4EF-D546-6298DED26FC8}"/>
                </a:ext>
              </a:extLst>
            </xdr:cNvPr>
            <xdr:cNvSpPr txBox="1"/>
          </xdr:nvSpPr>
          <xdr:spPr>
            <a:xfrm>
              <a:off x="10157460" y="1363980"/>
              <a:ext cx="853440" cy="213360"/>
            </a:xfrm>
            <a:prstGeom prst="rect">
              <a:avLst/>
            </a:prstGeom>
            <a:noFill/>
            <a:ln w="12700" cmpd="sng">
              <a:solidFill>
                <a:schemeClr val="accent1">
                  <a:lumMod val="40000"/>
                  <a:lumOff val="6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CD7E484-F101-4C7E-9A5B-3EC0F03BD883}" type="TxLink">
                <a:rPr lang="en-US" sz="1100" b="1" i="0" u="none" strike="noStrike">
                  <a:solidFill>
                    <a:srgbClr val="000000"/>
                  </a:solidFill>
                  <a:latin typeface="Aptos Narrow"/>
                </a:rPr>
                <a:t>Profit</a:t>
              </a:fld>
              <a:endParaRPr lang="en-IN" sz="1100" b="1"/>
            </a:p>
          </xdr:txBody>
        </xdr:sp>
      </xdr:grpSp>
      <xdr:sp macro="" textlink="$C$11">
        <xdr:nvSpPr>
          <xdr:cNvPr id="11" name="TextBox 10">
            <a:extLst>
              <a:ext uri="{FF2B5EF4-FFF2-40B4-BE49-F238E27FC236}">
                <a16:creationId xmlns:a16="http://schemas.microsoft.com/office/drawing/2014/main" id="{58FEE1BD-C776-1C3E-E80D-D4C6B0A60377}"/>
              </a:ext>
            </a:extLst>
          </xdr:cNvPr>
          <xdr:cNvSpPr txBox="1"/>
        </xdr:nvSpPr>
        <xdr:spPr>
          <a:xfrm>
            <a:off x="3942080" y="2426970"/>
            <a:ext cx="853440" cy="2926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FFA5B27D-D042-4DEA-984C-1111621FBC8E}" type="TxLink">
              <a:rPr lang="en-US" sz="1100" b="1" i="0" u="none" strike="noStrike">
                <a:solidFill>
                  <a:srgbClr val="000000"/>
                </a:solidFill>
                <a:latin typeface="Aptos Narrow"/>
              </a:rPr>
              <a:t>50,301</a:t>
            </a:fld>
            <a:endParaRPr lang="en-IN" sz="1100" b="1"/>
          </a:p>
        </xdr:txBody>
      </xdr:sp>
    </xdr:grpSp>
    <xdr:clientData/>
  </xdr:twoCellAnchor>
  <xdr:twoCellAnchor editAs="absolute">
    <xdr:from>
      <xdr:col>9</xdr:col>
      <xdr:colOff>20873</xdr:colOff>
      <xdr:row>3</xdr:row>
      <xdr:rowOff>22860</xdr:rowOff>
    </xdr:from>
    <xdr:to>
      <xdr:col>13</xdr:col>
      <xdr:colOff>485693</xdr:colOff>
      <xdr:row>11</xdr:row>
      <xdr:rowOff>213360</xdr:rowOff>
    </xdr:to>
    <xdr:graphicFrame macro="">
      <xdr:nvGraphicFramePr>
        <xdr:cNvPr id="20" name="Chart 19">
          <a:extLst>
            <a:ext uri="{FF2B5EF4-FFF2-40B4-BE49-F238E27FC236}">
              <a16:creationId xmlns:a16="http://schemas.microsoft.com/office/drawing/2014/main" id="{43162986-9F14-5FBF-4638-E21D3EE3DD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absolute">
    <xdr:from>
      <xdr:col>13</xdr:col>
      <xdr:colOff>508553</xdr:colOff>
      <xdr:row>3</xdr:row>
      <xdr:rowOff>34290</xdr:rowOff>
    </xdr:from>
    <xdr:to>
      <xdr:col>18</xdr:col>
      <xdr:colOff>455213</xdr:colOff>
      <xdr:row>11</xdr:row>
      <xdr:rowOff>190500</xdr:rowOff>
    </xdr:to>
    <xdr:graphicFrame macro="">
      <xdr:nvGraphicFramePr>
        <xdr:cNvPr id="21" name="Chart 20">
          <a:extLst>
            <a:ext uri="{FF2B5EF4-FFF2-40B4-BE49-F238E27FC236}">
              <a16:creationId xmlns:a16="http://schemas.microsoft.com/office/drawing/2014/main" id="{64BBE95D-C23D-D2C7-E71B-5547D3F989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absolute">
    <xdr:from>
      <xdr:col>0</xdr:col>
      <xdr:colOff>1093305</xdr:colOff>
      <xdr:row>12</xdr:row>
      <xdr:rowOff>68580</xdr:rowOff>
    </xdr:from>
    <xdr:to>
      <xdr:col>18</xdr:col>
      <xdr:colOff>600987</xdr:colOff>
      <xdr:row>14</xdr:row>
      <xdr:rowOff>167640</xdr:rowOff>
    </xdr:to>
    <xdr:sp macro="" textlink="">
      <xdr:nvSpPr>
        <xdr:cNvPr id="22" name="Rectangle 21">
          <a:extLst>
            <a:ext uri="{FF2B5EF4-FFF2-40B4-BE49-F238E27FC236}">
              <a16:creationId xmlns:a16="http://schemas.microsoft.com/office/drawing/2014/main" id="{6DA5809A-DDF8-4734-8606-8AD918300539}"/>
            </a:ext>
          </a:extLst>
        </xdr:cNvPr>
        <xdr:cNvSpPr/>
      </xdr:nvSpPr>
      <xdr:spPr>
        <a:xfrm>
          <a:off x="1093305" y="2712389"/>
          <a:ext cx="11129839" cy="456868"/>
        </a:xfrm>
        <a:prstGeom prst="rect">
          <a:avLst/>
        </a:prstGeom>
        <a:solidFill>
          <a:schemeClr val="accent2">
            <a:lumMod val="60000"/>
            <a:lumOff val="40000"/>
          </a:schemeClr>
        </a:solidFill>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algn="ctr"/>
          <a:r>
            <a:rPr lang="en-IN" sz="2800" b="1">
              <a:solidFill>
                <a:sysClr val="windowText" lastClr="000000"/>
              </a:solidFill>
            </a:rPr>
            <a:t>INCOME</a:t>
          </a:r>
          <a:r>
            <a:rPr lang="en-IN" sz="2800" baseline="0">
              <a:solidFill>
                <a:sysClr val="windowText" lastClr="000000"/>
              </a:solidFill>
            </a:rPr>
            <a:t> </a:t>
          </a:r>
          <a:r>
            <a:rPr lang="en-IN" sz="2800" baseline="0">
              <a:solidFill>
                <a:sysClr val="windowText" lastClr="000000"/>
              </a:solidFill>
              <a:latin typeface="Times New Roman" panose="02020603050405020304" pitchFamily="18" charset="0"/>
              <a:cs typeface="Times New Roman" panose="02020603050405020304" pitchFamily="18" charset="0"/>
            </a:rPr>
            <a:t>TRACKER</a:t>
          </a:r>
          <a:r>
            <a:rPr lang="en-IN" sz="2800" baseline="0">
              <a:solidFill>
                <a:sysClr val="windowText" lastClr="000000"/>
              </a:solidFill>
            </a:rPr>
            <a:t> </a:t>
          </a:r>
          <a:r>
            <a:rPr lang="en-IN" sz="2800" b="1" baseline="0">
              <a:solidFill>
                <a:sysClr val="windowText" lastClr="000000"/>
              </a:solidFill>
            </a:rPr>
            <a:t>DASHBOARD 2026</a:t>
          </a:r>
          <a:endParaRPr lang="en-IN" sz="2800" b="1">
            <a:solidFill>
              <a:sysClr val="windowText" lastClr="000000"/>
            </a:solidFill>
          </a:endParaRPr>
        </a:p>
      </xdr:txBody>
    </xdr:sp>
    <xdr:clientData/>
  </xdr:twoCellAnchor>
  <xdr:twoCellAnchor editAs="absolute">
    <xdr:from>
      <xdr:col>3</xdr:col>
      <xdr:colOff>58973</xdr:colOff>
      <xdr:row>15</xdr:row>
      <xdr:rowOff>7620</xdr:rowOff>
    </xdr:from>
    <xdr:to>
      <xdr:col>18</xdr:col>
      <xdr:colOff>592373</xdr:colOff>
      <xdr:row>24</xdr:row>
      <xdr:rowOff>182880</xdr:rowOff>
    </xdr:to>
    <xdr:sp macro="" textlink="">
      <xdr:nvSpPr>
        <xdr:cNvPr id="23" name="Rectangle 22">
          <a:extLst>
            <a:ext uri="{FF2B5EF4-FFF2-40B4-BE49-F238E27FC236}">
              <a16:creationId xmlns:a16="http://schemas.microsoft.com/office/drawing/2014/main" id="{BAF67BFE-5585-4DC5-9CA7-C6EF45E09FFF}"/>
            </a:ext>
          </a:extLst>
        </xdr:cNvPr>
        <xdr:cNvSpPr/>
      </xdr:nvSpPr>
      <xdr:spPr>
        <a:xfrm>
          <a:off x="2523877" y="3194768"/>
          <a:ext cx="9690653" cy="2083573"/>
        </a:xfrm>
        <a:prstGeom prst="rect">
          <a:avLst/>
        </a:prstGeom>
        <a:solidFill>
          <a:schemeClr val="accent2">
            <a:lumMod val="20000"/>
            <a:lumOff val="80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3</xdr:col>
      <xdr:colOff>66593</xdr:colOff>
      <xdr:row>18</xdr:row>
      <xdr:rowOff>26314</xdr:rowOff>
    </xdr:from>
    <xdr:to>
      <xdr:col>4</xdr:col>
      <xdr:colOff>325673</xdr:colOff>
      <xdr:row>18</xdr:row>
      <xdr:rowOff>205740</xdr:rowOff>
    </xdr:to>
    <xdr:sp macro="" textlink="$B$18">
      <xdr:nvSpPr>
        <xdr:cNvPr id="31" name="TextBox 30">
          <a:extLst>
            <a:ext uri="{FF2B5EF4-FFF2-40B4-BE49-F238E27FC236}">
              <a16:creationId xmlns:a16="http://schemas.microsoft.com/office/drawing/2014/main" id="{58C42895-019B-BBDF-926F-0A4FD5B976CA}"/>
            </a:ext>
          </a:extLst>
        </xdr:cNvPr>
        <xdr:cNvSpPr txBox="1"/>
      </xdr:nvSpPr>
      <xdr:spPr>
        <a:xfrm>
          <a:off x="2531497" y="3730297"/>
          <a:ext cx="868680" cy="179426"/>
        </a:xfrm>
        <a:prstGeom prst="rect">
          <a:avLst/>
        </a:prstGeom>
        <a:noFill/>
        <a:ln w="12700" cmpd="sng">
          <a:solidFill>
            <a:schemeClr val="accent1">
              <a:lumMod val="40000"/>
              <a:lumOff val="6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7513E0A-E97B-4A14-8DC6-6021108CAC54}" type="TxLink">
            <a:rPr lang="en-US" sz="1050" b="1" i="0" u="none" strike="noStrike">
              <a:solidFill>
                <a:srgbClr val="000000"/>
              </a:solidFill>
              <a:latin typeface="Aptos Narrow"/>
            </a:rPr>
            <a:t>Health Care</a:t>
          </a:fld>
          <a:endParaRPr lang="en-IN" sz="1000" b="1"/>
        </a:p>
      </xdr:txBody>
    </xdr:sp>
    <xdr:clientData/>
  </xdr:twoCellAnchor>
  <xdr:twoCellAnchor editAs="absolute">
    <xdr:from>
      <xdr:col>3</xdr:col>
      <xdr:colOff>58973</xdr:colOff>
      <xdr:row>18</xdr:row>
      <xdr:rowOff>214280</xdr:rowOff>
    </xdr:from>
    <xdr:to>
      <xdr:col>4</xdr:col>
      <xdr:colOff>302813</xdr:colOff>
      <xdr:row>20</xdr:row>
      <xdr:rowOff>21640</xdr:rowOff>
    </xdr:to>
    <xdr:sp macro="" textlink="$C$18">
      <xdr:nvSpPr>
        <xdr:cNvPr id="27" name="TextBox 26">
          <a:extLst>
            <a:ext uri="{FF2B5EF4-FFF2-40B4-BE49-F238E27FC236}">
              <a16:creationId xmlns:a16="http://schemas.microsoft.com/office/drawing/2014/main" id="{87CE1872-DF35-D4F9-09F8-C14CF2187ED6}"/>
            </a:ext>
          </a:extLst>
        </xdr:cNvPr>
        <xdr:cNvSpPr txBox="1"/>
      </xdr:nvSpPr>
      <xdr:spPr>
        <a:xfrm>
          <a:off x="2523877" y="3918263"/>
          <a:ext cx="853440" cy="2711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45AE5005-1854-4826-A160-B641069771E2}" type="TxLink">
            <a:rPr lang="en-US" sz="1100" b="1" i="0" u="none" strike="noStrike">
              <a:solidFill>
                <a:srgbClr val="000000"/>
              </a:solidFill>
              <a:latin typeface="Aptos Narrow"/>
            </a:rPr>
            <a:t>67,604</a:t>
          </a:fld>
          <a:endParaRPr lang="en-IN" sz="1100" b="1"/>
        </a:p>
      </xdr:txBody>
    </xdr:sp>
    <xdr:clientData/>
  </xdr:twoCellAnchor>
  <xdr:twoCellAnchor editAs="absolute">
    <xdr:from>
      <xdr:col>6</xdr:col>
      <xdr:colOff>89453</xdr:colOff>
      <xdr:row>18</xdr:row>
      <xdr:rowOff>33072</xdr:rowOff>
    </xdr:from>
    <xdr:to>
      <xdr:col>7</xdr:col>
      <xdr:colOff>318053</xdr:colOff>
      <xdr:row>18</xdr:row>
      <xdr:rowOff>226121</xdr:rowOff>
    </xdr:to>
    <xdr:sp macro="" textlink="$B$20">
      <xdr:nvSpPr>
        <xdr:cNvPr id="53" name="TextBox 52">
          <a:extLst>
            <a:ext uri="{FF2B5EF4-FFF2-40B4-BE49-F238E27FC236}">
              <a16:creationId xmlns:a16="http://schemas.microsoft.com/office/drawing/2014/main" id="{4B785599-3EF9-CF70-F3BE-E41F1D12C862}"/>
            </a:ext>
          </a:extLst>
        </xdr:cNvPr>
        <xdr:cNvSpPr txBox="1"/>
      </xdr:nvSpPr>
      <xdr:spPr>
        <a:xfrm>
          <a:off x="4383157" y="3737055"/>
          <a:ext cx="851453" cy="193049"/>
        </a:xfrm>
        <a:prstGeom prst="rect">
          <a:avLst/>
        </a:prstGeom>
        <a:noFill/>
        <a:ln w="12700" cmpd="sng">
          <a:solidFill>
            <a:schemeClr val="accent1">
              <a:lumMod val="40000"/>
              <a:lumOff val="6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5E05D55-4245-46C0-858D-FE0FA91E29B9}" type="TxLink">
            <a:rPr lang="en-US" sz="1100" b="1" i="0" u="none" strike="noStrike">
              <a:solidFill>
                <a:srgbClr val="000000"/>
              </a:solidFill>
              <a:latin typeface="Aptos Narrow"/>
            </a:rPr>
            <a:t>Travel</a:t>
          </a:fld>
          <a:endParaRPr lang="en-IN" sz="1100" b="1"/>
        </a:p>
      </xdr:txBody>
    </xdr:sp>
    <xdr:clientData/>
  </xdr:twoCellAnchor>
  <xdr:twoCellAnchor editAs="absolute">
    <xdr:from>
      <xdr:col>6</xdr:col>
      <xdr:colOff>64053</xdr:colOff>
      <xdr:row>18</xdr:row>
      <xdr:rowOff>214151</xdr:rowOff>
    </xdr:from>
    <xdr:to>
      <xdr:col>7</xdr:col>
      <xdr:colOff>292653</xdr:colOff>
      <xdr:row>20</xdr:row>
      <xdr:rowOff>14885</xdr:rowOff>
    </xdr:to>
    <xdr:sp macro="" textlink="$C$20">
      <xdr:nvSpPr>
        <xdr:cNvPr id="37" name="TextBox 36">
          <a:extLst>
            <a:ext uri="{FF2B5EF4-FFF2-40B4-BE49-F238E27FC236}">
              <a16:creationId xmlns:a16="http://schemas.microsoft.com/office/drawing/2014/main" id="{C48473E8-3497-0114-DBBF-5D1870501B45}"/>
            </a:ext>
          </a:extLst>
        </xdr:cNvPr>
        <xdr:cNvSpPr txBox="1"/>
      </xdr:nvSpPr>
      <xdr:spPr>
        <a:xfrm>
          <a:off x="4357757" y="3918134"/>
          <a:ext cx="851453"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853150B7-2415-41E7-B443-E642D0B03E2D}" type="TxLink">
            <a:rPr lang="en-US" sz="1100" b="1" i="0" u="none" strike="noStrike">
              <a:solidFill>
                <a:srgbClr val="000000"/>
              </a:solidFill>
              <a:latin typeface="Aptos Narrow"/>
            </a:rPr>
            <a:t>118,078</a:t>
          </a:fld>
          <a:endParaRPr lang="en-IN" sz="1100" b="1"/>
        </a:p>
      </xdr:txBody>
    </xdr:sp>
    <xdr:clientData/>
  </xdr:twoCellAnchor>
  <xdr:twoCellAnchor editAs="absolute">
    <xdr:from>
      <xdr:col>4</xdr:col>
      <xdr:colOff>386633</xdr:colOff>
      <xdr:row>18</xdr:row>
      <xdr:rowOff>26247</xdr:rowOff>
    </xdr:from>
    <xdr:to>
      <xdr:col>6</xdr:col>
      <xdr:colOff>20873</xdr:colOff>
      <xdr:row>18</xdr:row>
      <xdr:rowOff>219294</xdr:rowOff>
    </xdr:to>
    <xdr:sp macro="" textlink="$B$19">
      <xdr:nvSpPr>
        <xdr:cNvPr id="63" name="TextBox 62">
          <a:extLst>
            <a:ext uri="{FF2B5EF4-FFF2-40B4-BE49-F238E27FC236}">
              <a16:creationId xmlns:a16="http://schemas.microsoft.com/office/drawing/2014/main" id="{EC689AC6-1901-863F-AAD0-779C737489C3}"/>
            </a:ext>
          </a:extLst>
        </xdr:cNvPr>
        <xdr:cNvSpPr txBox="1"/>
      </xdr:nvSpPr>
      <xdr:spPr>
        <a:xfrm>
          <a:off x="3461137" y="3730230"/>
          <a:ext cx="853440" cy="193047"/>
        </a:xfrm>
        <a:prstGeom prst="rect">
          <a:avLst/>
        </a:prstGeom>
        <a:noFill/>
        <a:ln w="12700" cmpd="sng">
          <a:solidFill>
            <a:schemeClr val="accent1">
              <a:lumMod val="40000"/>
              <a:lumOff val="6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168B3FB-5BD3-4A9B-94A2-625FD8AD4AD4}" type="TxLink">
            <a:rPr lang="en-US" sz="1100" b="1" i="0" u="none" strike="noStrike">
              <a:solidFill>
                <a:srgbClr val="000000"/>
              </a:solidFill>
              <a:latin typeface="Aptos Narrow"/>
            </a:rPr>
            <a:t>Education</a:t>
          </a:fld>
          <a:endParaRPr lang="en-IN" sz="1100" b="1"/>
        </a:p>
      </xdr:txBody>
    </xdr:sp>
    <xdr:clientData/>
  </xdr:twoCellAnchor>
  <xdr:twoCellAnchor editAs="absolute">
    <xdr:from>
      <xdr:col>4</xdr:col>
      <xdr:colOff>366313</xdr:colOff>
      <xdr:row>18</xdr:row>
      <xdr:rowOff>214215</xdr:rowOff>
    </xdr:from>
    <xdr:to>
      <xdr:col>6</xdr:col>
      <xdr:colOff>553</xdr:colOff>
      <xdr:row>20</xdr:row>
      <xdr:rowOff>14949</xdr:rowOff>
    </xdr:to>
    <xdr:sp macro="" textlink="$C$19">
      <xdr:nvSpPr>
        <xdr:cNvPr id="61" name="TextBox 60">
          <a:extLst>
            <a:ext uri="{FF2B5EF4-FFF2-40B4-BE49-F238E27FC236}">
              <a16:creationId xmlns:a16="http://schemas.microsoft.com/office/drawing/2014/main" id="{9FD8D01E-303D-BD9E-20CF-3829B42BBA70}"/>
            </a:ext>
          </a:extLst>
        </xdr:cNvPr>
        <xdr:cNvSpPr txBox="1"/>
      </xdr:nvSpPr>
      <xdr:spPr>
        <a:xfrm>
          <a:off x="3440817" y="3918198"/>
          <a:ext cx="85344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859E8535-F3B0-4FB8-9966-9F5750EAAB09}" type="TxLink">
            <a:rPr lang="en-US" sz="1100" b="1" i="0" u="none" strike="noStrike">
              <a:solidFill>
                <a:srgbClr val="000000"/>
              </a:solidFill>
              <a:latin typeface="Aptos Narrow"/>
            </a:rPr>
            <a:t>119,852</a:t>
          </a:fld>
          <a:endParaRPr lang="en-IN" sz="1100" b="1"/>
        </a:p>
      </xdr:txBody>
    </xdr:sp>
    <xdr:clientData/>
  </xdr:twoCellAnchor>
  <xdr:twoCellAnchor editAs="absolute">
    <xdr:from>
      <xdr:col>7</xdr:col>
      <xdr:colOff>356153</xdr:colOff>
      <xdr:row>18</xdr:row>
      <xdr:rowOff>33683</xdr:rowOff>
    </xdr:from>
    <xdr:to>
      <xdr:col>8</xdr:col>
      <xdr:colOff>599993</xdr:colOff>
      <xdr:row>18</xdr:row>
      <xdr:rowOff>226712</xdr:rowOff>
    </xdr:to>
    <xdr:sp macro="" textlink="$B$21">
      <xdr:nvSpPr>
        <xdr:cNvPr id="68" name="TextBox 67">
          <a:extLst>
            <a:ext uri="{FF2B5EF4-FFF2-40B4-BE49-F238E27FC236}">
              <a16:creationId xmlns:a16="http://schemas.microsoft.com/office/drawing/2014/main" id="{33960710-34B4-4A4F-B026-ABF4C9374486}"/>
            </a:ext>
          </a:extLst>
        </xdr:cNvPr>
        <xdr:cNvSpPr txBox="1"/>
      </xdr:nvSpPr>
      <xdr:spPr>
        <a:xfrm>
          <a:off x="5272710" y="3737666"/>
          <a:ext cx="853440" cy="193029"/>
        </a:xfrm>
        <a:prstGeom prst="rect">
          <a:avLst/>
        </a:prstGeom>
        <a:noFill/>
        <a:ln w="12700" cmpd="sng">
          <a:solidFill>
            <a:schemeClr val="accent1">
              <a:lumMod val="40000"/>
              <a:lumOff val="6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5BAE53E-C323-4419-A2C6-165EE9876B72}" type="TxLink">
            <a:rPr lang="en-US" sz="1100" b="1" i="0" u="none" strike="noStrike">
              <a:solidFill>
                <a:srgbClr val="000000"/>
              </a:solidFill>
              <a:latin typeface="Aptos Narrow"/>
            </a:rPr>
            <a:t>Shopping</a:t>
          </a:fld>
          <a:endParaRPr lang="en-IN" sz="1100" b="1"/>
        </a:p>
      </xdr:txBody>
    </xdr:sp>
    <xdr:clientData/>
  </xdr:twoCellAnchor>
  <xdr:twoCellAnchor editAs="absolute">
    <xdr:from>
      <xdr:col>7</xdr:col>
      <xdr:colOff>356153</xdr:colOff>
      <xdr:row>18</xdr:row>
      <xdr:rowOff>214734</xdr:rowOff>
    </xdr:from>
    <xdr:to>
      <xdr:col>8</xdr:col>
      <xdr:colOff>599993</xdr:colOff>
      <xdr:row>20</xdr:row>
      <xdr:rowOff>15468</xdr:rowOff>
    </xdr:to>
    <xdr:sp macro="" textlink="$C$21">
      <xdr:nvSpPr>
        <xdr:cNvPr id="66" name="TextBox 65">
          <a:extLst>
            <a:ext uri="{FF2B5EF4-FFF2-40B4-BE49-F238E27FC236}">
              <a16:creationId xmlns:a16="http://schemas.microsoft.com/office/drawing/2014/main" id="{1C5E8250-302C-334B-69B3-157352FCC19C}"/>
            </a:ext>
          </a:extLst>
        </xdr:cNvPr>
        <xdr:cNvSpPr txBox="1"/>
      </xdr:nvSpPr>
      <xdr:spPr>
        <a:xfrm>
          <a:off x="5272710" y="3918717"/>
          <a:ext cx="85344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200FFAD2-3BDC-41DB-AAB5-D083DCB59B2A}" type="TxLink">
            <a:rPr lang="en-US" sz="1100" b="1" i="0" u="none" strike="noStrike">
              <a:solidFill>
                <a:srgbClr val="000000"/>
              </a:solidFill>
              <a:latin typeface="Aptos Narrow"/>
            </a:rPr>
            <a:t>243,722</a:t>
          </a:fld>
          <a:endParaRPr lang="en-IN" sz="1100" b="1"/>
        </a:p>
      </xdr:txBody>
    </xdr:sp>
    <xdr:clientData/>
  </xdr:twoCellAnchor>
  <xdr:twoCellAnchor editAs="absolute">
    <xdr:from>
      <xdr:col>3</xdr:col>
      <xdr:colOff>66593</xdr:colOff>
      <xdr:row>22</xdr:row>
      <xdr:rowOff>19345</xdr:rowOff>
    </xdr:from>
    <xdr:to>
      <xdr:col>4</xdr:col>
      <xdr:colOff>371393</xdr:colOff>
      <xdr:row>22</xdr:row>
      <xdr:rowOff>226060</xdr:rowOff>
    </xdr:to>
    <xdr:sp macro="" textlink="$B$22">
      <xdr:nvSpPr>
        <xdr:cNvPr id="73" name="TextBox 72">
          <a:extLst>
            <a:ext uri="{FF2B5EF4-FFF2-40B4-BE49-F238E27FC236}">
              <a16:creationId xmlns:a16="http://schemas.microsoft.com/office/drawing/2014/main" id="{9F152615-FFC9-C1A4-2D3C-AA3EBF9FC8C3}"/>
            </a:ext>
          </a:extLst>
        </xdr:cNvPr>
        <xdr:cNvSpPr txBox="1"/>
      </xdr:nvSpPr>
      <xdr:spPr>
        <a:xfrm>
          <a:off x="2531497" y="4650980"/>
          <a:ext cx="914400" cy="206715"/>
        </a:xfrm>
        <a:prstGeom prst="rect">
          <a:avLst/>
        </a:prstGeom>
        <a:noFill/>
        <a:ln w="12700" cmpd="sng">
          <a:solidFill>
            <a:schemeClr val="accent1">
              <a:lumMod val="40000"/>
              <a:lumOff val="6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EB875DF-26B7-4E10-8762-A401952D0239}" type="TxLink">
            <a:rPr lang="en-US" sz="1100" b="1" i="0" u="none" strike="noStrike">
              <a:solidFill>
                <a:srgbClr val="000000"/>
              </a:solidFill>
              <a:latin typeface="Aptos Narrow"/>
            </a:rPr>
            <a:t>Dining</a:t>
          </a:fld>
          <a:endParaRPr lang="en-IN" sz="1100" b="1"/>
        </a:p>
      </xdr:txBody>
    </xdr:sp>
    <xdr:clientData/>
  </xdr:twoCellAnchor>
  <xdr:twoCellAnchor editAs="absolute">
    <xdr:from>
      <xdr:col>3</xdr:col>
      <xdr:colOff>89453</xdr:colOff>
      <xdr:row>23</xdr:row>
      <xdr:rowOff>7793</xdr:rowOff>
    </xdr:from>
    <xdr:to>
      <xdr:col>4</xdr:col>
      <xdr:colOff>333293</xdr:colOff>
      <xdr:row>24</xdr:row>
      <xdr:rowOff>40440</xdr:rowOff>
    </xdr:to>
    <xdr:sp macro="" textlink="$C$22">
      <xdr:nvSpPr>
        <xdr:cNvPr id="71" name="TextBox 70">
          <a:extLst>
            <a:ext uri="{FF2B5EF4-FFF2-40B4-BE49-F238E27FC236}">
              <a16:creationId xmlns:a16="http://schemas.microsoft.com/office/drawing/2014/main" id="{B1147734-238A-129A-A8D1-B9D606AAC1C3}"/>
            </a:ext>
          </a:extLst>
        </xdr:cNvPr>
        <xdr:cNvSpPr txBox="1"/>
      </xdr:nvSpPr>
      <xdr:spPr>
        <a:xfrm>
          <a:off x="2554357" y="4871341"/>
          <a:ext cx="85344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20425017-6D81-493E-991C-B87D3CB99299}" type="TxLink">
            <a:rPr lang="en-US" sz="1100" b="1" i="0" u="none" strike="noStrike">
              <a:solidFill>
                <a:srgbClr val="000000"/>
              </a:solidFill>
              <a:latin typeface="Aptos Narrow"/>
            </a:rPr>
            <a:t>121,070</a:t>
          </a:fld>
          <a:endParaRPr lang="en-IN" sz="1100" b="1"/>
        </a:p>
      </xdr:txBody>
    </xdr:sp>
    <xdr:clientData/>
  </xdr:twoCellAnchor>
  <xdr:twoCellAnchor editAs="absolute">
    <xdr:from>
      <xdr:col>4</xdr:col>
      <xdr:colOff>409493</xdr:colOff>
      <xdr:row>22</xdr:row>
      <xdr:rowOff>32451</xdr:rowOff>
    </xdr:from>
    <xdr:to>
      <xdr:col>6</xdr:col>
      <xdr:colOff>43733</xdr:colOff>
      <xdr:row>22</xdr:row>
      <xdr:rowOff>225409</xdr:rowOff>
    </xdr:to>
    <xdr:sp macro="" textlink="$B$23">
      <xdr:nvSpPr>
        <xdr:cNvPr id="78" name="TextBox 77">
          <a:extLst>
            <a:ext uri="{FF2B5EF4-FFF2-40B4-BE49-F238E27FC236}">
              <a16:creationId xmlns:a16="http://schemas.microsoft.com/office/drawing/2014/main" id="{71A3AEBE-74A8-5028-7860-AF9EE51A448D}"/>
            </a:ext>
          </a:extLst>
        </xdr:cNvPr>
        <xdr:cNvSpPr txBox="1"/>
      </xdr:nvSpPr>
      <xdr:spPr>
        <a:xfrm>
          <a:off x="3483997" y="4664086"/>
          <a:ext cx="853440" cy="192958"/>
        </a:xfrm>
        <a:prstGeom prst="rect">
          <a:avLst/>
        </a:prstGeom>
        <a:noFill/>
        <a:ln w="12700" cmpd="sng">
          <a:solidFill>
            <a:schemeClr val="accent1">
              <a:lumMod val="40000"/>
              <a:lumOff val="6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7A899E6-9C7A-4420-9351-574E6D7194F9}" type="TxLink">
            <a:rPr lang="en-US" sz="1100" b="1" i="0" u="none" strike="noStrike">
              <a:solidFill>
                <a:srgbClr val="000000"/>
              </a:solidFill>
              <a:latin typeface="Aptos Narrow"/>
            </a:rPr>
            <a:t>Rent</a:t>
          </a:fld>
          <a:endParaRPr lang="en-IN" sz="1100" b="1"/>
        </a:p>
      </xdr:txBody>
    </xdr:sp>
    <xdr:clientData/>
  </xdr:twoCellAnchor>
  <xdr:twoCellAnchor editAs="absolute">
    <xdr:from>
      <xdr:col>4</xdr:col>
      <xdr:colOff>384093</xdr:colOff>
      <xdr:row>23</xdr:row>
      <xdr:rowOff>7146</xdr:rowOff>
    </xdr:from>
    <xdr:to>
      <xdr:col>6</xdr:col>
      <xdr:colOff>18333</xdr:colOff>
      <xdr:row>24</xdr:row>
      <xdr:rowOff>39793</xdr:rowOff>
    </xdr:to>
    <xdr:sp macro="" textlink="$C$23">
      <xdr:nvSpPr>
        <xdr:cNvPr id="76" name="TextBox 75">
          <a:extLst>
            <a:ext uri="{FF2B5EF4-FFF2-40B4-BE49-F238E27FC236}">
              <a16:creationId xmlns:a16="http://schemas.microsoft.com/office/drawing/2014/main" id="{1778C70C-E9BF-90C3-DBF8-295A953A2C1A}"/>
            </a:ext>
          </a:extLst>
        </xdr:cNvPr>
        <xdr:cNvSpPr txBox="1"/>
      </xdr:nvSpPr>
      <xdr:spPr>
        <a:xfrm>
          <a:off x="3458597" y="4870694"/>
          <a:ext cx="85344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ED3F7A1B-4830-4A71-8BFE-00FB5A8C53A9}" type="TxLink">
            <a:rPr lang="en-US" sz="1100" b="1" i="0" u="none" strike="noStrike">
              <a:solidFill>
                <a:srgbClr val="000000"/>
              </a:solidFill>
              <a:latin typeface="Aptos Narrow"/>
            </a:rPr>
            <a:t>348,000</a:t>
          </a:fld>
          <a:endParaRPr lang="en-IN" sz="1100" b="1"/>
        </a:p>
      </xdr:txBody>
    </xdr:sp>
    <xdr:clientData/>
  </xdr:twoCellAnchor>
  <xdr:twoCellAnchor editAs="absolute">
    <xdr:from>
      <xdr:col>7</xdr:col>
      <xdr:colOff>348533</xdr:colOff>
      <xdr:row>22</xdr:row>
      <xdr:rowOff>39342</xdr:rowOff>
    </xdr:from>
    <xdr:to>
      <xdr:col>8</xdr:col>
      <xdr:colOff>493313</xdr:colOff>
      <xdr:row>23</xdr:row>
      <xdr:rowOff>3700</xdr:rowOff>
    </xdr:to>
    <xdr:sp macro="" textlink="$B$25">
      <xdr:nvSpPr>
        <xdr:cNvPr id="83" name="TextBox 82">
          <a:extLst>
            <a:ext uri="{FF2B5EF4-FFF2-40B4-BE49-F238E27FC236}">
              <a16:creationId xmlns:a16="http://schemas.microsoft.com/office/drawing/2014/main" id="{FC1316BA-4C55-222C-D34D-6C60A2FB925B}"/>
            </a:ext>
          </a:extLst>
        </xdr:cNvPr>
        <xdr:cNvSpPr txBox="1"/>
      </xdr:nvSpPr>
      <xdr:spPr>
        <a:xfrm>
          <a:off x="5265090" y="4670977"/>
          <a:ext cx="754380" cy="196271"/>
        </a:xfrm>
        <a:prstGeom prst="rect">
          <a:avLst/>
        </a:prstGeom>
        <a:noFill/>
        <a:ln w="12700" cmpd="sng">
          <a:solidFill>
            <a:schemeClr val="accent1">
              <a:lumMod val="40000"/>
              <a:lumOff val="6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105F62B-39EF-48AC-8BC3-977296EDF98C}" type="TxLink">
            <a:rPr lang="en-US" sz="1100" b="1" i="0" u="none" strike="noStrike">
              <a:solidFill>
                <a:srgbClr val="000000"/>
              </a:solidFill>
              <a:latin typeface="Aptos Narrow"/>
            </a:rPr>
            <a:t>Transport</a:t>
          </a:fld>
          <a:endParaRPr lang="en-IN" sz="1100" b="1"/>
        </a:p>
      </xdr:txBody>
    </xdr:sp>
    <xdr:clientData/>
  </xdr:twoCellAnchor>
  <xdr:twoCellAnchor editAs="absolute">
    <xdr:from>
      <xdr:col>7</xdr:col>
      <xdr:colOff>348533</xdr:colOff>
      <xdr:row>23</xdr:row>
      <xdr:rowOff>7147</xdr:rowOff>
    </xdr:from>
    <xdr:to>
      <xdr:col>8</xdr:col>
      <xdr:colOff>592373</xdr:colOff>
      <xdr:row>24</xdr:row>
      <xdr:rowOff>39794</xdr:rowOff>
    </xdr:to>
    <xdr:sp macro="" textlink="$C$25">
      <xdr:nvSpPr>
        <xdr:cNvPr id="81" name="TextBox 80">
          <a:extLst>
            <a:ext uri="{FF2B5EF4-FFF2-40B4-BE49-F238E27FC236}">
              <a16:creationId xmlns:a16="http://schemas.microsoft.com/office/drawing/2014/main" id="{78BAD3D0-FA4F-987B-5DFB-33E446FF9F3D}"/>
            </a:ext>
          </a:extLst>
        </xdr:cNvPr>
        <xdr:cNvSpPr txBox="1"/>
      </xdr:nvSpPr>
      <xdr:spPr>
        <a:xfrm>
          <a:off x="5265090" y="4870695"/>
          <a:ext cx="85344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93320B86-6751-4FA7-9FBB-BC3EA8C9B36D}" type="TxLink">
            <a:rPr lang="en-US" sz="1100" b="1" i="0" u="none" strike="noStrike">
              <a:solidFill>
                <a:srgbClr val="000000"/>
              </a:solidFill>
              <a:latin typeface="Aptos Narrow"/>
            </a:rPr>
            <a:t>105,643</a:t>
          </a:fld>
          <a:endParaRPr lang="en-IN" sz="1100" b="1"/>
        </a:p>
      </xdr:txBody>
    </xdr:sp>
    <xdr:clientData/>
  </xdr:twoCellAnchor>
  <xdr:twoCellAnchor editAs="absolute">
    <xdr:from>
      <xdr:col>6</xdr:col>
      <xdr:colOff>81833</xdr:colOff>
      <xdr:row>22</xdr:row>
      <xdr:rowOff>33799</xdr:rowOff>
    </xdr:from>
    <xdr:to>
      <xdr:col>7</xdr:col>
      <xdr:colOff>310433</xdr:colOff>
      <xdr:row>22</xdr:row>
      <xdr:rowOff>226708</xdr:rowOff>
    </xdr:to>
    <xdr:sp macro="" textlink="$B$24">
      <xdr:nvSpPr>
        <xdr:cNvPr id="88" name="TextBox 87">
          <a:extLst>
            <a:ext uri="{FF2B5EF4-FFF2-40B4-BE49-F238E27FC236}">
              <a16:creationId xmlns:a16="http://schemas.microsoft.com/office/drawing/2014/main" id="{E4FFA959-EC44-B771-7EFA-1778CE985363}"/>
            </a:ext>
          </a:extLst>
        </xdr:cNvPr>
        <xdr:cNvSpPr txBox="1"/>
      </xdr:nvSpPr>
      <xdr:spPr>
        <a:xfrm>
          <a:off x="4375537" y="4665434"/>
          <a:ext cx="851453" cy="192909"/>
        </a:xfrm>
        <a:prstGeom prst="rect">
          <a:avLst/>
        </a:prstGeom>
        <a:noFill/>
        <a:ln w="12700" cmpd="sng">
          <a:solidFill>
            <a:schemeClr val="accent1">
              <a:lumMod val="40000"/>
              <a:lumOff val="6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05F40CE-E19E-43B8-A8E1-8DA293E9EEA8}" type="TxLink">
            <a:rPr lang="en-US" sz="1100" b="1" i="0" u="none" strike="noStrike">
              <a:solidFill>
                <a:srgbClr val="000000"/>
              </a:solidFill>
              <a:latin typeface="Aptos Narrow"/>
            </a:rPr>
            <a:t>Bills</a:t>
          </a:fld>
          <a:endParaRPr lang="en-IN" sz="1100" b="1"/>
        </a:p>
      </xdr:txBody>
    </xdr:sp>
    <xdr:clientData/>
  </xdr:twoCellAnchor>
  <xdr:twoCellAnchor editAs="absolute">
    <xdr:from>
      <xdr:col>6</xdr:col>
      <xdr:colOff>69133</xdr:colOff>
      <xdr:row>23</xdr:row>
      <xdr:rowOff>8443</xdr:rowOff>
    </xdr:from>
    <xdr:to>
      <xdr:col>7</xdr:col>
      <xdr:colOff>297733</xdr:colOff>
      <xdr:row>24</xdr:row>
      <xdr:rowOff>41090</xdr:rowOff>
    </xdr:to>
    <xdr:sp macro="" textlink="$C$24">
      <xdr:nvSpPr>
        <xdr:cNvPr id="86" name="TextBox 85">
          <a:extLst>
            <a:ext uri="{FF2B5EF4-FFF2-40B4-BE49-F238E27FC236}">
              <a16:creationId xmlns:a16="http://schemas.microsoft.com/office/drawing/2014/main" id="{45D2527B-44DE-E50F-2BD0-0B20CFE00FD5}"/>
            </a:ext>
          </a:extLst>
        </xdr:cNvPr>
        <xdr:cNvSpPr txBox="1"/>
      </xdr:nvSpPr>
      <xdr:spPr>
        <a:xfrm>
          <a:off x="4362837" y="4871991"/>
          <a:ext cx="851453"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04648FF4-99BE-4B03-844F-E91D421A2113}" type="TxLink">
            <a:rPr lang="en-US" sz="1100" b="1" i="0" u="none" strike="noStrike">
              <a:solidFill>
                <a:srgbClr val="000000"/>
              </a:solidFill>
              <a:latin typeface="Aptos Narrow"/>
            </a:rPr>
            <a:t>190,555</a:t>
          </a:fld>
          <a:endParaRPr lang="en-IN" sz="1100" b="1"/>
        </a:p>
      </xdr:txBody>
    </xdr:sp>
    <xdr:clientData/>
  </xdr:twoCellAnchor>
  <xdr:twoCellAnchor editAs="absolute">
    <xdr:from>
      <xdr:col>6</xdr:col>
      <xdr:colOff>295193</xdr:colOff>
      <xdr:row>20</xdr:row>
      <xdr:rowOff>83820</xdr:rowOff>
    </xdr:from>
    <xdr:to>
      <xdr:col>7</xdr:col>
      <xdr:colOff>118409</xdr:colOff>
      <xdr:row>22</xdr:row>
      <xdr:rowOff>28956</xdr:rowOff>
    </xdr:to>
    <xdr:pic>
      <xdr:nvPicPr>
        <xdr:cNvPr id="90" name="Picture 89">
          <a:extLst>
            <a:ext uri="{FF2B5EF4-FFF2-40B4-BE49-F238E27FC236}">
              <a16:creationId xmlns:a16="http://schemas.microsoft.com/office/drawing/2014/main" id="{36CEF2BA-A355-5B8F-95BB-49DD029B0FDE}"/>
            </a:ext>
          </a:extLst>
        </xdr:cNvPr>
        <xdr:cNvPicPr>
          <a:picLocks/>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4588897" y="4251629"/>
          <a:ext cx="446069" cy="408962"/>
        </a:xfrm>
        <a:prstGeom prst="rect">
          <a:avLst/>
        </a:prstGeom>
      </xdr:spPr>
    </xdr:pic>
    <xdr:clientData/>
  </xdr:twoCellAnchor>
  <xdr:twoCellAnchor editAs="absolute">
    <xdr:from>
      <xdr:col>3</xdr:col>
      <xdr:colOff>292793</xdr:colOff>
      <xdr:row>20</xdr:row>
      <xdr:rowOff>35700</xdr:rowOff>
    </xdr:from>
    <xdr:to>
      <xdr:col>4</xdr:col>
      <xdr:colOff>131249</xdr:colOff>
      <xdr:row>21</xdr:row>
      <xdr:rowOff>209436</xdr:rowOff>
    </xdr:to>
    <xdr:pic>
      <xdr:nvPicPr>
        <xdr:cNvPr id="92" name="Picture 91">
          <a:extLst>
            <a:ext uri="{FF2B5EF4-FFF2-40B4-BE49-F238E27FC236}">
              <a16:creationId xmlns:a16="http://schemas.microsoft.com/office/drawing/2014/main" id="{86B69501-D7CF-48A0-8765-9A45FC25EBFC}"/>
            </a:ext>
          </a:extLst>
        </xdr:cNvPr>
        <xdr:cNvPicPr>
          <a:picLocks/>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2757697" y="4203509"/>
          <a:ext cx="448056" cy="405649"/>
        </a:xfrm>
        <a:prstGeom prst="rect">
          <a:avLst/>
        </a:prstGeom>
      </xdr:spPr>
    </xdr:pic>
    <xdr:clientData/>
  </xdr:twoCellAnchor>
  <xdr:twoCellAnchor editAs="absolute">
    <xdr:from>
      <xdr:col>4</xdr:col>
      <xdr:colOff>526613</xdr:colOff>
      <xdr:row>16</xdr:row>
      <xdr:rowOff>10440</xdr:rowOff>
    </xdr:from>
    <xdr:to>
      <xdr:col>5</xdr:col>
      <xdr:colOff>365069</xdr:colOff>
      <xdr:row>17</xdr:row>
      <xdr:rowOff>184176</xdr:rowOff>
    </xdr:to>
    <xdr:pic>
      <xdr:nvPicPr>
        <xdr:cNvPr id="94" name="Picture 93">
          <a:extLst>
            <a:ext uri="{FF2B5EF4-FFF2-40B4-BE49-F238E27FC236}">
              <a16:creationId xmlns:a16="http://schemas.microsoft.com/office/drawing/2014/main" id="{5CEEA648-5027-069F-5FED-11CBE1311A90}"/>
            </a:ext>
          </a:extLst>
        </xdr:cNvPr>
        <xdr:cNvPicPr>
          <a:picLocks/>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3601117" y="3250597"/>
          <a:ext cx="448056" cy="405649"/>
        </a:xfrm>
        <a:prstGeom prst="rect">
          <a:avLst/>
        </a:prstGeom>
      </xdr:spPr>
    </xdr:pic>
    <xdr:clientData/>
  </xdr:twoCellAnchor>
  <xdr:twoCellAnchor editAs="absolute">
    <xdr:from>
      <xdr:col>3</xdr:col>
      <xdr:colOff>257513</xdr:colOff>
      <xdr:row>16</xdr:row>
      <xdr:rowOff>23280</xdr:rowOff>
    </xdr:from>
    <xdr:to>
      <xdr:col>4</xdr:col>
      <xdr:colOff>95969</xdr:colOff>
      <xdr:row>17</xdr:row>
      <xdr:rowOff>197016</xdr:rowOff>
    </xdr:to>
    <xdr:pic>
      <xdr:nvPicPr>
        <xdr:cNvPr id="96" name="Picture 95">
          <a:extLst>
            <a:ext uri="{FF2B5EF4-FFF2-40B4-BE49-F238E27FC236}">
              <a16:creationId xmlns:a16="http://schemas.microsoft.com/office/drawing/2014/main" id="{6770B3B8-8C4F-7A86-4299-B8B613C96BBF}"/>
            </a:ext>
          </a:extLst>
        </xdr:cNvPr>
        <xdr:cNvPicPr>
          <a:picLocks/>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2722417" y="3263437"/>
          <a:ext cx="448056" cy="405649"/>
        </a:xfrm>
        <a:prstGeom prst="rect">
          <a:avLst/>
        </a:prstGeom>
      </xdr:spPr>
    </xdr:pic>
    <xdr:clientData/>
  </xdr:twoCellAnchor>
  <xdr:twoCellAnchor editAs="absolute">
    <xdr:from>
      <xdr:col>4</xdr:col>
      <xdr:colOff>590393</xdr:colOff>
      <xdr:row>20</xdr:row>
      <xdr:rowOff>28500</xdr:rowOff>
    </xdr:from>
    <xdr:to>
      <xdr:col>5</xdr:col>
      <xdr:colOff>428849</xdr:colOff>
      <xdr:row>21</xdr:row>
      <xdr:rowOff>202236</xdr:rowOff>
    </xdr:to>
    <xdr:pic>
      <xdr:nvPicPr>
        <xdr:cNvPr id="98" name="Picture 97">
          <a:extLst>
            <a:ext uri="{FF2B5EF4-FFF2-40B4-BE49-F238E27FC236}">
              <a16:creationId xmlns:a16="http://schemas.microsoft.com/office/drawing/2014/main" id="{E0B183CE-5D26-05DA-DDD3-3C3A1DB5A6E4}"/>
            </a:ext>
          </a:extLst>
        </xdr:cNvPr>
        <xdr:cNvPicPr>
          <a:picLocks/>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3664897" y="4196309"/>
          <a:ext cx="448056" cy="405649"/>
        </a:xfrm>
        <a:prstGeom prst="rect">
          <a:avLst/>
        </a:prstGeom>
      </xdr:spPr>
    </xdr:pic>
    <xdr:clientData/>
  </xdr:twoCellAnchor>
  <xdr:twoCellAnchor editAs="absolute">
    <xdr:from>
      <xdr:col>6</xdr:col>
      <xdr:colOff>252713</xdr:colOff>
      <xdr:row>16</xdr:row>
      <xdr:rowOff>56580</xdr:rowOff>
    </xdr:from>
    <xdr:to>
      <xdr:col>7</xdr:col>
      <xdr:colOff>75929</xdr:colOff>
      <xdr:row>18</xdr:row>
      <xdr:rowOff>1716</xdr:rowOff>
    </xdr:to>
    <xdr:pic>
      <xdr:nvPicPr>
        <xdr:cNvPr id="100" name="Picture 99">
          <a:extLst>
            <a:ext uri="{FF2B5EF4-FFF2-40B4-BE49-F238E27FC236}">
              <a16:creationId xmlns:a16="http://schemas.microsoft.com/office/drawing/2014/main" id="{25AA0916-B7D1-0618-CD96-6A066D430AC4}"/>
            </a:ext>
          </a:extLst>
        </xdr:cNvPr>
        <xdr:cNvPicPr>
          <a:picLocks/>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4546417" y="3296737"/>
          <a:ext cx="446069" cy="408962"/>
        </a:xfrm>
        <a:prstGeom prst="rect">
          <a:avLst/>
        </a:prstGeom>
      </xdr:spPr>
    </xdr:pic>
    <xdr:clientData/>
  </xdr:twoCellAnchor>
  <xdr:twoCellAnchor editAs="absolute">
    <xdr:from>
      <xdr:col>7</xdr:col>
      <xdr:colOff>478913</xdr:colOff>
      <xdr:row>20</xdr:row>
      <xdr:rowOff>99900</xdr:rowOff>
    </xdr:from>
    <xdr:to>
      <xdr:col>8</xdr:col>
      <xdr:colOff>317369</xdr:colOff>
      <xdr:row>22</xdr:row>
      <xdr:rowOff>45036</xdr:rowOff>
    </xdr:to>
    <xdr:pic>
      <xdr:nvPicPr>
        <xdr:cNvPr id="102" name="Picture 101">
          <a:extLst>
            <a:ext uri="{FF2B5EF4-FFF2-40B4-BE49-F238E27FC236}">
              <a16:creationId xmlns:a16="http://schemas.microsoft.com/office/drawing/2014/main" id="{8FEB26A3-DA54-7911-3B63-DA305CA224A8}"/>
            </a:ext>
          </a:extLst>
        </xdr:cNvPr>
        <xdr:cNvPicPr>
          <a:picLocks/>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5395470" y="4267709"/>
          <a:ext cx="448056" cy="408962"/>
        </a:xfrm>
        <a:prstGeom prst="rect">
          <a:avLst/>
        </a:prstGeom>
      </xdr:spPr>
    </xdr:pic>
    <xdr:clientData/>
  </xdr:twoCellAnchor>
  <xdr:twoCellAnchor editAs="absolute">
    <xdr:from>
      <xdr:col>7</xdr:col>
      <xdr:colOff>514613</xdr:colOff>
      <xdr:row>16</xdr:row>
      <xdr:rowOff>44160</xdr:rowOff>
    </xdr:from>
    <xdr:to>
      <xdr:col>8</xdr:col>
      <xdr:colOff>353069</xdr:colOff>
      <xdr:row>17</xdr:row>
      <xdr:rowOff>217896</xdr:rowOff>
    </xdr:to>
    <xdr:pic>
      <xdr:nvPicPr>
        <xdr:cNvPr id="104" name="Picture 103">
          <a:extLst>
            <a:ext uri="{FF2B5EF4-FFF2-40B4-BE49-F238E27FC236}">
              <a16:creationId xmlns:a16="http://schemas.microsoft.com/office/drawing/2014/main" id="{9BC5FC0F-6899-6F03-32B1-4351C89A7459}"/>
            </a:ext>
          </a:extLst>
        </xdr:cNvPr>
        <xdr:cNvPicPr>
          <a:picLocks/>
        </xdr:cNvPicPr>
      </xdr:nvPicPr>
      <xdr:blipFill>
        <a:blip xmlns:r="http://schemas.openxmlformats.org/officeDocument/2006/relationships" r:embed="rId18" cstate="print">
          <a:extLst>
            <a:ext uri="{28A0092B-C50C-407E-A947-70E740481C1C}">
              <a14:useLocalDpi xmlns:a14="http://schemas.microsoft.com/office/drawing/2010/main" val="0"/>
            </a:ext>
          </a:extLst>
        </a:blip>
        <a:stretch>
          <a:fillRect/>
        </a:stretch>
      </xdr:blipFill>
      <xdr:spPr>
        <a:xfrm>
          <a:off x="5431170" y="3284317"/>
          <a:ext cx="448056" cy="405649"/>
        </a:xfrm>
        <a:prstGeom prst="rect">
          <a:avLst/>
        </a:prstGeom>
      </xdr:spPr>
    </xdr:pic>
    <xdr:clientData/>
  </xdr:twoCellAnchor>
  <xdr:twoCellAnchor editAs="absolute">
    <xdr:from>
      <xdr:col>8</xdr:col>
      <xdr:colOff>584753</xdr:colOff>
      <xdr:row>15</xdr:row>
      <xdr:rowOff>49530</xdr:rowOff>
    </xdr:from>
    <xdr:to>
      <xdr:col>13</xdr:col>
      <xdr:colOff>444545</xdr:colOff>
      <xdr:row>24</xdr:row>
      <xdr:rowOff>188214</xdr:rowOff>
    </xdr:to>
    <xdr:graphicFrame macro="">
      <xdr:nvGraphicFramePr>
        <xdr:cNvPr id="106" name="Chart 105">
          <a:extLst>
            <a:ext uri="{FF2B5EF4-FFF2-40B4-BE49-F238E27FC236}">
              <a16:creationId xmlns:a16="http://schemas.microsoft.com/office/drawing/2014/main" id="{C658DD1C-AB8F-4F0E-CBF0-812A1EE220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editAs="absolute">
    <xdr:from>
      <xdr:col>13</xdr:col>
      <xdr:colOff>584753</xdr:colOff>
      <xdr:row>16</xdr:row>
      <xdr:rowOff>26670</xdr:rowOff>
    </xdr:from>
    <xdr:to>
      <xdr:col>18</xdr:col>
      <xdr:colOff>535985</xdr:colOff>
      <xdr:row>24</xdr:row>
      <xdr:rowOff>182118</xdr:rowOff>
    </xdr:to>
    <xdr:graphicFrame macro="">
      <xdr:nvGraphicFramePr>
        <xdr:cNvPr id="107" name="Chart 106">
          <a:extLst>
            <a:ext uri="{FF2B5EF4-FFF2-40B4-BE49-F238E27FC236}">
              <a16:creationId xmlns:a16="http://schemas.microsoft.com/office/drawing/2014/main" id="{66D97871-2B41-35E4-1194-C2B2DBA4DB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0</xdr:col>
      <xdr:colOff>0</xdr:colOff>
      <xdr:row>0</xdr:row>
      <xdr:rowOff>0</xdr:rowOff>
    </xdr:from>
    <xdr:to>
      <xdr:col>0</xdr:col>
      <xdr:colOff>1135380</xdr:colOff>
      <xdr:row>5</xdr:row>
      <xdr:rowOff>38100</xdr:rowOff>
    </xdr:to>
    <xdr:graphicFrame macro="">
      <xdr:nvGraphicFramePr>
        <xdr:cNvPr id="110" name="Chart 109">
          <a:extLst>
            <a:ext uri="{FF2B5EF4-FFF2-40B4-BE49-F238E27FC236}">
              <a16:creationId xmlns:a16="http://schemas.microsoft.com/office/drawing/2014/main" id="{AA0B0D3C-0D52-4359-958D-E835BE94A2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oneCellAnchor>
    <xdr:from>
      <xdr:col>0</xdr:col>
      <xdr:colOff>102374</xdr:colOff>
      <xdr:row>1</xdr:row>
      <xdr:rowOff>38101</xdr:rowOff>
    </xdr:from>
    <xdr:ext cx="784860" cy="274320"/>
    <xdr:sp macro="" textlink="Pivot!G3">
      <xdr:nvSpPr>
        <xdr:cNvPr id="111" name="TextBox 110">
          <a:extLst>
            <a:ext uri="{FF2B5EF4-FFF2-40B4-BE49-F238E27FC236}">
              <a16:creationId xmlns:a16="http://schemas.microsoft.com/office/drawing/2014/main" id="{26A300C8-8A68-59CA-A897-25594E7424FF}"/>
            </a:ext>
          </a:extLst>
        </xdr:cNvPr>
        <xdr:cNvSpPr txBox="1"/>
      </xdr:nvSpPr>
      <xdr:spPr>
        <a:xfrm>
          <a:off x="102374" y="223631"/>
          <a:ext cx="7848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2E837000-EB24-4CC7-9FF9-ABFF55100A91}" type="TxLink">
            <a:rPr lang="en-US" sz="1800" b="0" i="0" u="none" strike="noStrike">
              <a:solidFill>
                <a:srgbClr val="000000"/>
              </a:solidFill>
              <a:latin typeface="Aptos Narrow"/>
            </a:rPr>
            <a:pPr algn="ctr"/>
            <a:t>Profit</a:t>
          </a:fld>
          <a:endParaRPr lang="en-IN" sz="1800"/>
        </a:p>
      </xdr:txBody>
    </xdr:sp>
    <xdr:clientData/>
  </xdr:oneCellAnchor>
  <xdr:oneCellAnchor>
    <xdr:from>
      <xdr:col>0</xdr:col>
      <xdr:colOff>94754</xdr:colOff>
      <xdr:row>2</xdr:row>
      <xdr:rowOff>152401</xdr:rowOff>
    </xdr:from>
    <xdr:ext cx="784860" cy="274320"/>
    <xdr:sp macro="" textlink="Pivot!G4">
      <xdr:nvSpPr>
        <xdr:cNvPr id="112" name="TextBox 111">
          <a:extLst>
            <a:ext uri="{FF2B5EF4-FFF2-40B4-BE49-F238E27FC236}">
              <a16:creationId xmlns:a16="http://schemas.microsoft.com/office/drawing/2014/main" id="{024FD8E5-81C1-8E57-54E3-DA658F2F5CC6}"/>
            </a:ext>
          </a:extLst>
        </xdr:cNvPr>
        <xdr:cNvSpPr txBox="1"/>
      </xdr:nvSpPr>
      <xdr:spPr>
        <a:xfrm>
          <a:off x="94754" y="523462"/>
          <a:ext cx="7848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424DB87B-BF58-41E5-A232-DC2C39901450}" type="TxLink">
            <a:rPr lang="en-US" sz="1100" b="1" i="0" u="none" strike="noStrike">
              <a:solidFill>
                <a:srgbClr val="000000"/>
              </a:solidFill>
              <a:latin typeface="Aptos Narrow"/>
            </a:rPr>
            <a:t> ₹ 233,301 </a:t>
          </a:fld>
          <a:endParaRPr lang="en-IN" sz="1800" b="1"/>
        </a:p>
      </xdr:txBody>
    </xdr:sp>
    <xdr:clientData/>
  </xdr:oneCellAnchor>
</xdr:wsDr>
</file>

<file path=xl/drawings/drawing2.xml><?xml version="1.0" encoding="utf-8"?>
<c:userShapes xmlns:c="http://schemas.openxmlformats.org/drawingml/2006/chart">
  <cdr:relSizeAnchor xmlns:cdr="http://schemas.openxmlformats.org/drawingml/2006/chartDrawing">
    <cdr:from>
      <cdr:x>0.19463</cdr:x>
      <cdr:y>0.12409</cdr:y>
    </cdr:from>
    <cdr:to>
      <cdr:x>1</cdr:x>
      <cdr:y>1</cdr:y>
    </cdr:to>
    <cdr:sp macro="" textlink="">
      <cdr:nvSpPr>
        <cdr:cNvPr id="2" name="TextBox 1">
          <a:extLst xmlns:a="http://schemas.openxmlformats.org/drawingml/2006/main">
            <a:ext uri="{FF2B5EF4-FFF2-40B4-BE49-F238E27FC236}">
              <a16:creationId xmlns:a16="http://schemas.microsoft.com/office/drawing/2014/main" id="{DA0E6A79-E037-664B-EA88-B239208D8B0A}"/>
            </a:ext>
          </a:extLst>
        </cdr:cNvPr>
        <cdr:cNvSpPr txBox="1"/>
      </cdr:nvSpPr>
      <cdr:spPr>
        <a:xfrm xmlns:a="http://schemas.openxmlformats.org/drawingml/2006/main">
          <a:off x="274320" y="411480"/>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IN" sz="1100" kern="1200"/>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unchun Jaya" refreshedDate="46161.062676504633" createdVersion="8" refreshedVersion="8" minRefreshableVersion="3" recordCount="500" xr:uid="{63B3957B-1305-4D3F-9416-6BE38777A736}">
  <cacheSource type="worksheet">
    <worksheetSource name="Table1"/>
  </cacheSource>
  <cacheFields count="6">
    <cacheField name="Date" numFmtId="0">
      <sharedItems containsDate="1" containsMixedTypes="1" minDate="2026-01-01T00:00:00" maxDate="2027-12-06T00:00:00"/>
    </cacheField>
    <cacheField name="Month" numFmtId="0">
      <sharedItems count="12">
        <s v="Jan"/>
        <s v="Feb"/>
        <s v="Mar"/>
        <s v="Apr"/>
        <s v="May"/>
        <s v="Jun"/>
        <s v="Jul"/>
        <s v="Aug"/>
        <s v="Sep"/>
        <s v="Oct"/>
        <s v="Nov"/>
        <s v="Dec"/>
      </sharedItems>
    </cacheField>
    <cacheField name="Category" numFmtId="0">
      <sharedItems count="2">
        <s v="Expenses"/>
        <s v="Income"/>
      </sharedItems>
    </cacheField>
    <cacheField name="Expenses Category" numFmtId="0">
      <sharedItems count="16">
        <s v="Travel"/>
        <s v="Dining"/>
        <s v="Education"/>
        <s v="Rent"/>
        <s v="Health care"/>
        <s v="Bills"/>
        <s v="Shopping"/>
        <s v="Transport"/>
        <s v="Salary"/>
        <s v="Freelance"/>
        <s v="Interest"/>
        <s v="Bonus"/>
        <s v="Investment"/>
        <s v="Overtime"/>
        <s v="Profit"/>
        <s v="Dividend"/>
      </sharedItems>
    </cacheField>
    <cacheField name="Description" numFmtId="0">
      <sharedItems count="44">
        <s v="Delhi To Goa"/>
        <s v="Pizza, Pasta and Dinner at xyz"/>
        <s v="Kids Tuition Fee"/>
        <s v="House Rent Paid"/>
        <s v="Medicine of Parents"/>
        <s v="Electricity"/>
        <s v="Kids School Fee"/>
        <s v="Kids Stationary"/>
        <s v="Mouse and Keyboard"/>
        <s v="Water Bill"/>
        <s v="Lunch With Family at xyz"/>
        <s v="Shop 1 Rent Paid"/>
        <s v="Breakfast"/>
        <s v="Dinner at Xyz Hotel"/>
        <s v="Airpods"/>
        <s v="Birthday Celebration"/>
        <s v="Kids Books and Pens"/>
        <s v="Shop 2 Rent Paid"/>
        <s v="Family Checkup"/>
        <s v="Delhi to Faridabad"/>
        <s v="Faridabad to Delhi"/>
        <s v="Dress"/>
        <s v="General Shopping"/>
        <s v="City Travel"/>
        <s v="Utilities"/>
        <s v="Restaurant"/>
        <s v="Medical Expense"/>
        <s v="House Rent"/>
        <s v="School Fee"/>
        <s v="Health care"/>
        <s v="Local Travel"/>
        <s v="Company"/>
        <s v="Client A"/>
        <s v="Bank"/>
        <s v="Client B"/>
        <s v="Client C"/>
        <s v="Dividends"/>
        <s v="Client D"/>
        <s v="Online Work"/>
        <s v="Client E"/>
        <s v="Investment"/>
        <s v="Client F"/>
        <s v="Client G"/>
        <s v="Client H"/>
      </sharedItems>
    </cacheField>
    <cacheField name="Amount" numFmtId="164">
      <sharedItems containsSemiMixedTypes="0" containsString="0" containsNumber="1" minValue="10" maxValue="85000"/>
    </cacheField>
  </cacheFields>
  <extLst>
    <ext xmlns:x14="http://schemas.microsoft.com/office/spreadsheetml/2009/9/main" uri="{725AE2AE-9491-48be-B2B4-4EB974FC3084}">
      <x14:pivotCacheDefinition pivotCacheId="52639847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d v="2026-01-01T00:00:00"/>
    <x v="0"/>
    <x v="0"/>
    <x v="0"/>
    <x v="0"/>
    <n v="11544.012500000001"/>
  </r>
  <r>
    <d v="2026-01-02T00:00:00"/>
    <x v="0"/>
    <x v="0"/>
    <x v="1"/>
    <x v="1"/>
    <n v="3425.9650000000001"/>
  </r>
  <r>
    <d v="2026-01-04T00:00:00"/>
    <x v="0"/>
    <x v="0"/>
    <x v="2"/>
    <x v="2"/>
    <n v="8378.71875"/>
  </r>
  <r>
    <d v="2026-01-05T00:00:00"/>
    <x v="0"/>
    <x v="0"/>
    <x v="3"/>
    <x v="3"/>
    <n v="5167.3125"/>
  </r>
  <r>
    <d v="2026-01-06T00:00:00"/>
    <x v="0"/>
    <x v="0"/>
    <x v="4"/>
    <x v="4"/>
    <n v="7075"/>
  </r>
  <r>
    <d v="2026-01-08T00:00:00"/>
    <x v="0"/>
    <x v="0"/>
    <x v="5"/>
    <x v="5"/>
    <n v="1675.7437500000001"/>
  </r>
  <r>
    <d v="2026-01-12T00:00:00"/>
    <x v="0"/>
    <x v="0"/>
    <x v="2"/>
    <x v="6"/>
    <n v="8006.3312500000002"/>
  </r>
  <r>
    <d v="2026-01-13T00:00:00"/>
    <x v="0"/>
    <x v="0"/>
    <x v="2"/>
    <x v="7"/>
    <n v="651.67812500000002"/>
  </r>
  <r>
    <d v="2026-01-14T00:00:00"/>
    <x v="0"/>
    <x v="0"/>
    <x v="6"/>
    <x v="8"/>
    <n v="2420.5187500000002"/>
  </r>
  <r>
    <d v="2026-01-15T00:00:00"/>
    <x v="0"/>
    <x v="0"/>
    <x v="5"/>
    <x v="9"/>
    <n v="16012.6625"/>
  </r>
  <r>
    <d v="2026-01-16T00:00:00"/>
    <x v="0"/>
    <x v="0"/>
    <x v="1"/>
    <x v="10"/>
    <n v="3537.6812500000001"/>
  </r>
  <r>
    <d v="2026-01-18T00:00:00"/>
    <x v="0"/>
    <x v="0"/>
    <x v="3"/>
    <x v="11"/>
    <n v="17874.599999999999"/>
  </r>
  <r>
    <d v="2026-01-19T00:00:00"/>
    <x v="0"/>
    <x v="0"/>
    <x v="1"/>
    <x v="12"/>
    <n v="1117.1624999999999"/>
  </r>
  <r>
    <d v="2026-01-20T00:00:00"/>
    <x v="0"/>
    <x v="0"/>
    <x v="1"/>
    <x v="13"/>
    <n v="3314.2487499999997"/>
  </r>
  <r>
    <d v="2026-01-22T00:00:00"/>
    <x v="0"/>
    <x v="0"/>
    <x v="6"/>
    <x v="14"/>
    <n v="4282.4562500000002"/>
  </r>
  <r>
    <d v="2026-01-23T00:00:00"/>
    <x v="0"/>
    <x v="0"/>
    <x v="1"/>
    <x v="15"/>
    <n v="8937.2999999999993"/>
  </r>
  <r>
    <d v="2026-01-25T00:00:00"/>
    <x v="0"/>
    <x v="0"/>
    <x v="2"/>
    <x v="16"/>
    <n v="1117.1624999999999"/>
  </r>
  <r>
    <d v="2026-01-26T00:00:00"/>
    <x v="0"/>
    <x v="0"/>
    <x v="3"/>
    <x v="17"/>
    <n v="5958.2000000000007"/>
  </r>
  <r>
    <d v="2026-01-27T00:00:00"/>
    <x v="0"/>
    <x v="0"/>
    <x v="4"/>
    <x v="18"/>
    <n v="1582.6468749999999"/>
  </r>
  <r>
    <d v="2026-01-28T00:00:00"/>
    <x v="0"/>
    <x v="0"/>
    <x v="7"/>
    <x v="19"/>
    <n v="2699.8093749999998"/>
  </r>
  <r>
    <d v="2026-01-30T00:00:00"/>
    <x v="0"/>
    <x v="0"/>
    <x v="7"/>
    <x v="20"/>
    <n v="2830.1450000000004"/>
  </r>
  <r>
    <d v="2026-01-31T00:00:00"/>
    <x v="0"/>
    <x v="0"/>
    <x v="6"/>
    <x v="21"/>
    <n v="7447.75"/>
  </r>
  <r>
    <d v="2026-03-02T00:00:00"/>
    <x v="1"/>
    <x v="0"/>
    <x v="6"/>
    <x v="22"/>
    <n v="5000"/>
  </r>
  <r>
    <d v="2026-02-05T00:00:00"/>
    <x v="1"/>
    <x v="0"/>
    <x v="2"/>
    <x v="16"/>
    <n v="5000"/>
  </r>
  <r>
    <d v="2026-02-06T00:00:00"/>
    <x v="1"/>
    <x v="0"/>
    <x v="7"/>
    <x v="19"/>
    <n v="1499.5"/>
  </r>
  <r>
    <s v="09/02/2026"/>
    <x v="1"/>
    <x v="0"/>
    <x v="0"/>
    <x v="23"/>
    <n v="703.81237499999997"/>
  </r>
  <r>
    <s v="22/02/2026"/>
    <x v="1"/>
    <x v="0"/>
    <x v="5"/>
    <x v="24"/>
    <n v="2982.823875"/>
  </r>
  <r>
    <s v="20/02/2026"/>
    <x v="1"/>
    <x v="0"/>
    <x v="1"/>
    <x v="25"/>
    <n v="2632.7796250000001"/>
  </r>
  <r>
    <s v="03/02/2026"/>
    <x v="1"/>
    <x v="0"/>
    <x v="4"/>
    <x v="26"/>
    <n v="1992.2731250000002"/>
  </r>
  <r>
    <s v="04/02/2026"/>
    <x v="1"/>
    <x v="0"/>
    <x v="5"/>
    <x v="24"/>
    <n v="12884.6075"/>
  </r>
  <r>
    <s v="24/02/2026"/>
    <x v="1"/>
    <x v="0"/>
    <x v="3"/>
    <x v="27"/>
    <n v="29000"/>
  </r>
  <r>
    <s v="28/02/2026"/>
    <x v="1"/>
    <x v="0"/>
    <x v="0"/>
    <x v="23"/>
    <n v="12173.347375000001"/>
  </r>
  <r>
    <s v="26/02/2026"/>
    <x v="1"/>
    <x v="0"/>
    <x v="1"/>
    <x v="25"/>
    <n v="19360.426125000005"/>
  </r>
  <r>
    <s v="07/03/2026"/>
    <x v="2"/>
    <x v="0"/>
    <x v="2"/>
    <x v="28"/>
    <n v="10642.834749999998"/>
  </r>
  <r>
    <s v="07/03/2026"/>
    <x v="2"/>
    <x v="0"/>
    <x v="7"/>
    <x v="19"/>
    <n v="2260"/>
  </r>
  <r>
    <s v="17/03/2026"/>
    <x v="2"/>
    <x v="0"/>
    <x v="0"/>
    <x v="23"/>
    <n v="1819.1129375"/>
  </r>
  <r>
    <d v="2027-03-18T00:00:00"/>
    <x v="2"/>
    <x v="0"/>
    <x v="3"/>
    <x v="11"/>
    <n v="29000"/>
  </r>
  <r>
    <s v="23/03/2026"/>
    <x v="2"/>
    <x v="0"/>
    <x v="2"/>
    <x v="28"/>
    <n v="2288.3211875000002"/>
  </r>
  <r>
    <s v="23/03/2026"/>
    <x v="2"/>
    <x v="0"/>
    <x v="1"/>
    <x v="25"/>
    <n v="1500"/>
  </r>
  <r>
    <s v="06/03/2026"/>
    <x v="2"/>
    <x v="0"/>
    <x v="4"/>
    <x v="29"/>
    <n v="1499.5"/>
  </r>
  <r>
    <s v="06/03/2026"/>
    <x v="2"/>
    <x v="0"/>
    <x v="0"/>
    <x v="23"/>
    <n v="4876.4143125000001"/>
  </r>
  <r>
    <s v="11/03/2026"/>
    <x v="2"/>
    <x v="0"/>
    <x v="0"/>
    <x v="23"/>
    <n v="1709.2586250000004"/>
  </r>
  <r>
    <s v="06/03/2026"/>
    <x v="2"/>
    <x v="0"/>
    <x v="5"/>
    <x v="24"/>
    <n v="7604.1527500000011"/>
  </r>
  <r>
    <s v="13/03/2026"/>
    <x v="2"/>
    <x v="0"/>
    <x v="6"/>
    <x v="22"/>
    <n v="19021.553499999998"/>
  </r>
  <r>
    <s v="28/03/2026"/>
    <x v="2"/>
    <x v="0"/>
    <x v="5"/>
    <x v="24"/>
    <n v="11871.713500000002"/>
  </r>
  <r>
    <s v="26/04/2026"/>
    <x v="3"/>
    <x v="0"/>
    <x v="2"/>
    <x v="28"/>
    <n v="12519.667750000001"/>
  </r>
  <r>
    <s v="16/04/2026"/>
    <x v="3"/>
    <x v="0"/>
    <x v="4"/>
    <x v="26"/>
    <n v="8870.2702500000014"/>
  </r>
  <r>
    <s v="22/04/2026"/>
    <x v="3"/>
    <x v="0"/>
    <x v="2"/>
    <x v="28"/>
    <n v="3012.6148750000002"/>
  </r>
  <r>
    <s v="22/04/2026"/>
    <x v="3"/>
    <x v="0"/>
    <x v="0"/>
    <x v="23"/>
    <n v="1550"/>
  </r>
  <r>
    <s v="22/04/2026"/>
    <x v="3"/>
    <x v="0"/>
    <x v="1"/>
    <x v="25"/>
    <n v="999"/>
  </r>
  <r>
    <s v="22/04/2026"/>
    <x v="3"/>
    <x v="0"/>
    <x v="5"/>
    <x v="24"/>
    <n v="5000"/>
  </r>
  <r>
    <s v="03/04/2026"/>
    <x v="3"/>
    <x v="0"/>
    <x v="2"/>
    <x v="28"/>
    <n v="12808.268062500001"/>
  </r>
  <r>
    <s v="24/04/2026"/>
    <x v="3"/>
    <x v="0"/>
    <x v="4"/>
    <x v="26"/>
    <n v="6185.3563750000012"/>
  </r>
  <r>
    <s v="09/04/2026"/>
    <x v="3"/>
    <x v="0"/>
    <x v="3"/>
    <x v="27"/>
    <n v="29000"/>
  </r>
  <r>
    <s v="20/04/2026"/>
    <x v="3"/>
    <x v="0"/>
    <x v="4"/>
    <x v="26"/>
    <n v="9073.2214375000003"/>
  </r>
  <r>
    <s v="08/04/2026"/>
    <x v="3"/>
    <x v="0"/>
    <x v="7"/>
    <x v="30"/>
    <n v="2958.6186874999999"/>
  </r>
  <r>
    <s v="10/05/2026"/>
    <x v="4"/>
    <x v="0"/>
    <x v="0"/>
    <x v="23"/>
    <n v="3654.9833125000005"/>
  </r>
  <r>
    <s v="10/05/2026"/>
    <x v="4"/>
    <x v="0"/>
    <x v="2"/>
    <x v="28"/>
    <n v="4999.5"/>
  </r>
  <r>
    <s v="10/05/2026"/>
    <x v="4"/>
    <x v="0"/>
    <x v="5"/>
    <x v="24"/>
    <n v="7200"/>
  </r>
  <r>
    <s v="10/05/2026"/>
    <x v="4"/>
    <x v="0"/>
    <x v="1"/>
    <x v="25"/>
    <n v="1500"/>
  </r>
  <r>
    <s v="24/05/2026"/>
    <x v="4"/>
    <x v="0"/>
    <x v="5"/>
    <x v="24"/>
    <n v="11715.310750000001"/>
  </r>
  <r>
    <s v="02/05/2026"/>
    <x v="4"/>
    <x v="0"/>
    <x v="6"/>
    <x v="22"/>
    <n v="6088.5356250000004"/>
  </r>
  <r>
    <s v="19/05/2026"/>
    <x v="4"/>
    <x v="0"/>
    <x v="0"/>
    <x v="23"/>
    <n v="9458.6425000000017"/>
  </r>
  <r>
    <s v="14/05/2026"/>
    <x v="4"/>
    <x v="0"/>
    <x v="4"/>
    <x v="26"/>
    <n v="5954.4761250000001"/>
  </r>
  <r>
    <s v="14/05/2026"/>
    <x v="4"/>
    <x v="0"/>
    <x v="6"/>
    <x v="22"/>
    <n v="11581.251249999999"/>
  </r>
  <r>
    <s v="09/05/2026"/>
    <x v="4"/>
    <x v="0"/>
    <x v="3"/>
    <x v="27"/>
    <n v="29000"/>
  </r>
  <r>
    <s v="16/05/2026"/>
    <x v="4"/>
    <x v="0"/>
    <x v="7"/>
    <x v="30"/>
    <n v="1258.66975"/>
  </r>
  <r>
    <s v="16/05/2026"/>
    <x v="5"/>
    <x v="0"/>
    <x v="4"/>
    <x v="26"/>
    <n v="1307.5"/>
  </r>
  <r>
    <s v="16/05/2026"/>
    <x v="5"/>
    <x v="0"/>
    <x v="1"/>
    <x v="25"/>
    <n v="500"/>
  </r>
  <r>
    <s v="16/05/2026"/>
    <x v="5"/>
    <x v="0"/>
    <x v="5"/>
    <x v="24"/>
    <n v="4525"/>
  </r>
  <r>
    <s v="22/06/2026"/>
    <x v="5"/>
    <x v="0"/>
    <x v="0"/>
    <x v="23"/>
    <n v="5714.2861874999999"/>
  </r>
  <r>
    <s v="21/06/2026"/>
    <x v="5"/>
    <x v="0"/>
    <x v="0"/>
    <x v="23"/>
    <n v="5850.2076250000009"/>
  </r>
  <r>
    <s v="20/06/2026"/>
    <x v="5"/>
    <x v="0"/>
    <x v="2"/>
    <x v="28"/>
    <n v="1420.6583125000002"/>
  </r>
  <r>
    <s v="17/06/2026"/>
    <x v="5"/>
    <x v="0"/>
    <x v="0"/>
    <x v="23"/>
    <n v="9719.3137499999993"/>
  </r>
  <r>
    <s v="10/06/2026"/>
    <x v="5"/>
    <x v="0"/>
    <x v="3"/>
    <x v="27"/>
    <n v="28900"/>
  </r>
  <r>
    <s v="20/06/2026"/>
    <x v="5"/>
    <x v="0"/>
    <x v="6"/>
    <x v="22"/>
    <n v="85000"/>
  </r>
  <r>
    <s v="03/06/2026"/>
    <x v="5"/>
    <x v="0"/>
    <x v="3"/>
    <x v="27"/>
    <n v="100"/>
  </r>
  <r>
    <s v="19/06/2026"/>
    <x v="5"/>
    <x v="0"/>
    <x v="7"/>
    <x v="30"/>
    <n v="925.38293750000003"/>
  </r>
  <r>
    <s v="26/07/2026"/>
    <x v="6"/>
    <x v="0"/>
    <x v="0"/>
    <x v="23"/>
    <n v="2768.7010625000003"/>
  </r>
  <r>
    <s v="26/07/2026"/>
    <x v="6"/>
    <x v="0"/>
    <x v="4"/>
    <x v="26"/>
    <n v="1500"/>
  </r>
  <r>
    <s v="26/07/2026"/>
    <x v="6"/>
    <x v="0"/>
    <x v="1"/>
    <x v="25"/>
    <n v="5000"/>
  </r>
  <r>
    <s v="07/07/2026"/>
    <x v="6"/>
    <x v="0"/>
    <x v="2"/>
    <x v="28"/>
    <n v="8198.110812500001"/>
  </r>
  <r>
    <s v="03/07/2026"/>
    <x v="6"/>
    <x v="0"/>
    <x v="7"/>
    <x v="30"/>
    <n v="5598.8460625000007"/>
  </r>
  <r>
    <s v="16/07/2026"/>
    <x v="6"/>
    <x v="0"/>
    <x v="6"/>
    <x v="22"/>
    <n v="2245.4966250000002"/>
  </r>
  <r>
    <s v="07/07/2026"/>
    <x v="6"/>
    <x v="0"/>
    <x v="7"/>
    <x v="30"/>
    <n v="11657.5906875"/>
  </r>
  <r>
    <s v="01/07/2026"/>
    <x v="6"/>
    <x v="0"/>
    <x v="6"/>
    <x v="22"/>
    <n v="24063.680250000005"/>
  </r>
  <r>
    <s v="20/07/2026"/>
    <x v="6"/>
    <x v="0"/>
    <x v="5"/>
    <x v="24"/>
    <n v="4401.6202499999999"/>
  </r>
  <r>
    <d v="2026-07-21T00:00:00"/>
    <x v="6"/>
    <x v="0"/>
    <x v="3"/>
    <x v="27"/>
    <n v="29000"/>
  </r>
  <r>
    <s v="28/07/2026"/>
    <x v="6"/>
    <x v="0"/>
    <x v="7"/>
    <x v="30"/>
    <n v="11681.795875000002"/>
  </r>
  <r>
    <s v="26/08/2026"/>
    <x v="7"/>
    <x v="0"/>
    <x v="7"/>
    <x v="30"/>
    <n v="3448.30825"/>
  </r>
  <r>
    <s v="26/08/2026"/>
    <x v="7"/>
    <x v="0"/>
    <x v="0"/>
    <x v="23"/>
    <n v="500"/>
  </r>
  <r>
    <s v="26/08/2026"/>
    <x v="7"/>
    <x v="0"/>
    <x v="4"/>
    <x v="26"/>
    <n v="1250"/>
  </r>
  <r>
    <s v="26/08/2026"/>
    <x v="7"/>
    <x v="0"/>
    <x v="1"/>
    <x v="25"/>
    <n v="7000"/>
  </r>
  <r>
    <s v="15/08/2026"/>
    <x v="7"/>
    <x v="0"/>
    <x v="7"/>
    <x v="30"/>
    <n v="3928.6881249999997"/>
  </r>
  <r>
    <s v="14/08/2026"/>
    <x v="7"/>
    <x v="0"/>
    <x v="7"/>
    <x v="30"/>
    <n v="8779.0353125000001"/>
  </r>
  <r>
    <s v="26/08/2026"/>
    <x v="7"/>
    <x v="0"/>
    <x v="7"/>
    <x v="30"/>
    <n v="6946.8888125000012"/>
  </r>
  <r>
    <d v="2026-08-05T00:00:00"/>
    <x v="7"/>
    <x v="0"/>
    <x v="6"/>
    <x v="22"/>
    <n v="3592"/>
  </r>
  <r>
    <s v="27/08/2026"/>
    <x v="7"/>
    <x v="0"/>
    <x v="3"/>
    <x v="27"/>
    <n v="29000"/>
  </r>
  <r>
    <s v="27/08/2026"/>
    <x v="7"/>
    <x v="0"/>
    <x v="5"/>
    <x v="24"/>
    <n v="8639.39"/>
  </r>
  <r>
    <s v="10/08/2026"/>
    <x v="7"/>
    <x v="0"/>
    <x v="2"/>
    <x v="28"/>
    <n v="8356.3755000000001"/>
  </r>
  <r>
    <s v="08/08/2026"/>
    <x v="7"/>
    <x v="0"/>
    <x v="7"/>
    <x v="30"/>
    <n v="3854.2106250000002"/>
  </r>
  <r>
    <s v="24/09/2026"/>
    <x v="8"/>
    <x v="0"/>
    <x v="0"/>
    <x v="23"/>
    <n v="22000"/>
  </r>
  <r>
    <s v="24/09/2026"/>
    <x v="8"/>
    <x v="0"/>
    <x v="4"/>
    <x v="26"/>
    <n v="4000"/>
  </r>
  <r>
    <s v="05/09/2026"/>
    <x v="8"/>
    <x v="0"/>
    <x v="1"/>
    <x v="25"/>
    <n v="22603.921249999999"/>
  </r>
  <r>
    <s v="05/09/2026"/>
    <x v="8"/>
    <x v="0"/>
    <x v="7"/>
    <x v="30"/>
    <n v="10557.185625"/>
  </r>
  <r>
    <s v="16/09/2026"/>
    <x v="8"/>
    <x v="0"/>
    <x v="2"/>
    <x v="28"/>
    <n v="6855.6538750000009"/>
  </r>
  <r>
    <d v="2026-09-05T00:00:00"/>
    <x v="8"/>
    <x v="0"/>
    <x v="6"/>
    <x v="22"/>
    <n v="5000"/>
  </r>
  <r>
    <s v="07/09/2026"/>
    <x v="8"/>
    <x v="0"/>
    <x v="2"/>
    <x v="28"/>
    <n v="3826.2815625000003"/>
  </r>
  <r>
    <s v="03/09/2026"/>
    <x v="8"/>
    <x v="0"/>
    <x v="7"/>
    <x v="30"/>
    <n v="7522.2275000000009"/>
  </r>
  <r>
    <s v="17/09/2026"/>
    <x v="8"/>
    <x v="0"/>
    <x v="5"/>
    <x v="24"/>
    <n v="21147.886125000001"/>
  </r>
  <r>
    <d v="2026-09-18T00:00:00"/>
    <x v="8"/>
    <x v="0"/>
    <x v="3"/>
    <x v="27"/>
    <n v="29000"/>
  </r>
  <r>
    <s v="12/09/2026"/>
    <x v="8"/>
    <x v="0"/>
    <x v="2"/>
    <x v="28"/>
    <n v="4582.2281874999999"/>
  </r>
  <r>
    <s v="21/10/2026"/>
    <x v="9"/>
    <x v="0"/>
    <x v="0"/>
    <x v="30"/>
    <n v="522.22749999999996"/>
  </r>
  <r>
    <s v="21/10/2026"/>
    <x v="9"/>
    <x v="0"/>
    <x v="7"/>
    <x v="30"/>
    <n v="4582.2281874999999"/>
  </r>
  <r>
    <s v="21/10/2026"/>
    <x v="9"/>
    <x v="0"/>
    <x v="1"/>
    <x v="25"/>
    <n v="7708.4212500000003"/>
  </r>
  <r>
    <s v="21/10/2026"/>
    <x v="9"/>
    <x v="0"/>
    <x v="2"/>
    <x v="28"/>
    <n v="4209.840687500001"/>
  </r>
  <r>
    <s v="22/10/2026"/>
    <x v="9"/>
    <x v="0"/>
    <x v="3"/>
    <x v="27"/>
    <n v="28000"/>
  </r>
  <r>
    <s v="15/10/2026"/>
    <x v="9"/>
    <x v="0"/>
    <x v="5"/>
    <x v="24"/>
    <n v="20205.745750000002"/>
  </r>
  <r>
    <s v="08/10/2026"/>
    <x v="9"/>
    <x v="0"/>
    <x v="6"/>
    <x v="22"/>
    <n v="9022.9491249999992"/>
  </r>
  <r>
    <s v="01/10/2026"/>
    <x v="9"/>
    <x v="0"/>
    <x v="4"/>
    <x v="26"/>
    <n v="1917.7956249999997"/>
  </r>
  <r>
    <s v="02/10/2026"/>
    <x v="9"/>
    <x v="0"/>
    <x v="6"/>
    <x v="22"/>
    <n v="13234.651750000001"/>
  </r>
  <r>
    <s v="28/10/2026"/>
    <x v="9"/>
    <x v="0"/>
    <x v="3"/>
    <x v="27"/>
    <n v="1000"/>
  </r>
  <r>
    <s v="27/10/2026"/>
    <x v="9"/>
    <x v="0"/>
    <x v="5"/>
    <x v="24"/>
    <n v="8002.6073749999996"/>
  </r>
  <r>
    <s v="02/11/2026"/>
    <x v="10"/>
    <x v="0"/>
    <x v="0"/>
    <x v="23"/>
    <n v="3131.778875"/>
  </r>
  <r>
    <s v="27/11/2026"/>
    <x v="10"/>
    <x v="0"/>
    <x v="4"/>
    <x v="26"/>
    <n v="4209.840687500001"/>
  </r>
  <r>
    <s v="27/11/2026"/>
    <x v="10"/>
    <x v="0"/>
    <x v="2"/>
    <x v="28"/>
    <n v="7522.2275000000009"/>
  </r>
  <r>
    <s v="27/11/2026"/>
    <x v="10"/>
    <x v="0"/>
    <x v="1"/>
    <x v="25"/>
    <n v="9164.4563749999998"/>
  </r>
  <r>
    <s v="27/11/2026"/>
    <x v="10"/>
    <x v="0"/>
    <x v="3"/>
    <x v="27"/>
    <n v="29000"/>
  </r>
  <r>
    <s v="15/11/2026"/>
    <x v="10"/>
    <x v="0"/>
    <x v="5"/>
    <x v="24"/>
    <n v="8639.39"/>
  </r>
  <r>
    <s v="21/11/2026"/>
    <x v="10"/>
    <x v="0"/>
    <x v="6"/>
    <x v="22"/>
    <n v="10721.036125000001"/>
  </r>
  <r>
    <s v="13/11/2026"/>
    <x v="10"/>
    <x v="0"/>
    <x v="7"/>
    <x v="30"/>
    <n v="3932.4120000000007"/>
  </r>
  <r>
    <s v="06/11/2026"/>
    <x v="10"/>
    <x v="0"/>
    <x v="0"/>
    <x v="23"/>
    <n v="9914.8171875000007"/>
  </r>
  <r>
    <s v="25/11/2026"/>
    <x v="10"/>
    <x v="0"/>
    <x v="7"/>
    <x v="30"/>
    <n v="2048.1312499999999"/>
  </r>
  <r>
    <s v="02/11/2026"/>
    <x v="10"/>
    <x v="0"/>
    <x v="0"/>
    <x v="23"/>
    <n v="9412.0940625000003"/>
  </r>
  <r>
    <s v="18/12/2026"/>
    <x v="11"/>
    <x v="0"/>
    <x v="7"/>
    <x v="30"/>
    <n v="6673.1840000000011"/>
  </r>
  <r>
    <s v="19/12/2026"/>
    <x v="11"/>
    <x v="0"/>
    <x v="5"/>
    <x v="24"/>
    <n v="13041.010250000001"/>
  </r>
  <r>
    <s v="07/12/2026"/>
    <x v="11"/>
    <x v="0"/>
    <x v="2"/>
    <x v="28"/>
    <n v="5455.4768750000003"/>
  </r>
  <r>
    <s v="28/12/2026"/>
    <x v="11"/>
    <x v="0"/>
    <x v="4"/>
    <x v="26"/>
    <n v="4410.9299375000001"/>
  </r>
  <r>
    <s v="08/12/2026"/>
    <x v="11"/>
    <x v="0"/>
    <x v="4"/>
    <x v="26"/>
    <n v="6775.5905625000014"/>
  </r>
  <r>
    <s v="03/12/2026"/>
    <x v="11"/>
    <x v="0"/>
    <x v="5"/>
    <x v="24"/>
    <n v="25005.820625"/>
  </r>
  <r>
    <d v="2027-12-05T00:00:00"/>
    <x v="11"/>
    <x v="0"/>
    <x v="3"/>
    <x v="27"/>
    <n v="29000"/>
  </r>
  <r>
    <s v="07/12/2026"/>
    <x v="11"/>
    <x v="0"/>
    <x v="1"/>
    <x v="25"/>
    <n v="6000"/>
  </r>
  <r>
    <s v="15/12/2026"/>
    <x v="11"/>
    <x v="0"/>
    <x v="1"/>
    <x v="25"/>
    <n v="16768.609125000003"/>
  </r>
  <r>
    <d v="2026-01-01T00:00:00"/>
    <x v="0"/>
    <x v="1"/>
    <x v="8"/>
    <x v="31"/>
    <n v="25600"/>
  </r>
  <r>
    <d v="2026-01-02T00:00:00"/>
    <x v="0"/>
    <x v="1"/>
    <x v="9"/>
    <x v="32"/>
    <n v="768"/>
  </r>
  <r>
    <d v="2026-01-04T00:00:00"/>
    <x v="0"/>
    <x v="1"/>
    <x v="10"/>
    <x v="33"/>
    <n v="768"/>
  </r>
  <r>
    <d v="2026-01-05T00:00:00"/>
    <x v="0"/>
    <x v="1"/>
    <x v="9"/>
    <x v="34"/>
    <n v="4608"/>
  </r>
  <r>
    <d v="2026-01-08T00:00:00"/>
    <x v="0"/>
    <x v="1"/>
    <x v="11"/>
    <x v="31"/>
    <n v="1500"/>
  </r>
  <r>
    <d v="2026-01-09T00:00:00"/>
    <x v="0"/>
    <x v="1"/>
    <x v="9"/>
    <x v="35"/>
    <n v="3072"/>
  </r>
  <r>
    <d v="2026-01-10T00:00:00"/>
    <x v="0"/>
    <x v="1"/>
    <x v="12"/>
    <x v="36"/>
    <n v="1344"/>
  </r>
  <r>
    <d v="2026-01-12T00:00:00"/>
    <x v="0"/>
    <x v="1"/>
    <x v="9"/>
    <x v="37"/>
    <n v="3584"/>
  </r>
  <r>
    <d v="2026-01-13T00:00:00"/>
    <x v="0"/>
    <x v="1"/>
    <x v="13"/>
    <x v="31"/>
    <n v="1920"/>
  </r>
  <r>
    <d v="2026-01-15T00:00:00"/>
    <x v="0"/>
    <x v="1"/>
    <x v="9"/>
    <x v="38"/>
    <n v="3904"/>
  </r>
  <r>
    <d v="2026-01-16T00:00:00"/>
    <x v="0"/>
    <x v="1"/>
    <x v="10"/>
    <x v="33"/>
    <n v="832"/>
  </r>
  <r>
    <d v="2026-01-18T00:00:00"/>
    <x v="0"/>
    <x v="1"/>
    <x v="9"/>
    <x v="39"/>
    <n v="3200"/>
  </r>
  <r>
    <d v="2026-01-19T00:00:00"/>
    <x v="0"/>
    <x v="1"/>
    <x v="8"/>
    <x v="31"/>
    <n v="25600"/>
  </r>
  <r>
    <d v="2026-01-20T00:00:00"/>
    <x v="0"/>
    <x v="1"/>
    <x v="14"/>
    <x v="40"/>
    <n v="2240"/>
  </r>
  <r>
    <d v="2026-01-22T00:00:00"/>
    <x v="0"/>
    <x v="1"/>
    <x v="9"/>
    <x v="41"/>
    <n v="3712"/>
  </r>
  <r>
    <d v="2026-01-25T00:00:00"/>
    <x v="0"/>
    <x v="1"/>
    <x v="9"/>
    <x v="42"/>
    <n v="200"/>
  </r>
  <r>
    <d v="2026-01-26T00:00:00"/>
    <x v="0"/>
    <x v="1"/>
    <x v="10"/>
    <x v="33"/>
    <n v="896"/>
  </r>
  <r>
    <d v="2026-01-27T00:00:00"/>
    <x v="0"/>
    <x v="1"/>
    <x v="11"/>
    <x v="31"/>
    <n v="5760"/>
  </r>
  <r>
    <d v="2026-01-28T00:00:00"/>
    <x v="0"/>
    <x v="1"/>
    <x v="9"/>
    <x v="38"/>
    <n v="3968"/>
  </r>
  <r>
    <d v="2026-01-31T00:00:00"/>
    <x v="0"/>
    <x v="1"/>
    <x v="15"/>
    <x v="40"/>
    <n v="1000"/>
  </r>
  <r>
    <d v="2026-01-31T00:00:00"/>
    <x v="0"/>
    <x v="1"/>
    <x v="9"/>
    <x v="43"/>
    <n v="4672"/>
  </r>
  <r>
    <s v="01/02/2026"/>
    <x v="1"/>
    <x v="1"/>
    <x v="8"/>
    <x v="31"/>
    <n v="50000"/>
  </r>
  <r>
    <s v="02/02/2026"/>
    <x v="1"/>
    <x v="1"/>
    <x v="9"/>
    <x v="32"/>
    <n v="200"/>
  </r>
  <r>
    <s v="03/02/2026"/>
    <x v="1"/>
    <x v="1"/>
    <x v="10"/>
    <x v="33"/>
    <n v="768"/>
  </r>
  <r>
    <s v="04/02/2026"/>
    <x v="1"/>
    <x v="1"/>
    <x v="9"/>
    <x v="34"/>
    <n v="4608"/>
  </r>
  <r>
    <s v="05/02/2026"/>
    <x v="1"/>
    <x v="1"/>
    <x v="11"/>
    <x v="31"/>
    <n v="500"/>
  </r>
  <r>
    <s v="06/02/2026"/>
    <x v="1"/>
    <x v="1"/>
    <x v="9"/>
    <x v="35"/>
    <n v="3072"/>
  </r>
  <r>
    <s v="07/02/2026"/>
    <x v="1"/>
    <x v="1"/>
    <x v="12"/>
    <x v="40"/>
    <n v="1344"/>
  </r>
  <r>
    <s v="08/02/2026"/>
    <x v="1"/>
    <x v="1"/>
    <x v="9"/>
    <x v="37"/>
    <n v="200"/>
  </r>
  <r>
    <s v="09/02/2026"/>
    <x v="1"/>
    <x v="1"/>
    <x v="13"/>
    <x v="31"/>
    <n v="1920"/>
  </r>
  <r>
    <s v="10/02/2026"/>
    <x v="1"/>
    <x v="1"/>
    <x v="9"/>
    <x v="38"/>
    <n v="3904"/>
  </r>
  <r>
    <s v="11/02/2026"/>
    <x v="1"/>
    <x v="1"/>
    <x v="10"/>
    <x v="33"/>
    <n v="832"/>
  </r>
  <r>
    <s v="12/02/2026"/>
    <x v="1"/>
    <x v="1"/>
    <x v="9"/>
    <x v="39"/>
    <n v="3200"/>
  </r>
  <r>
    <s v="13/02/2026"/>
    <x v="1"/>
    <x v="1"/>
    <x v="14"/>
    <x v="40"/>
    <n v="2240"/>
  </r>
  <r>
    <s v="14/02/2026"/>
    <x v="1"/>
    <x v="1"/>
    <x v="9"/>
    <x v="41"/>
    <n v="200"/>
  </r>
  <r>
    <s v="15/02/2026"/>
    <x v="1"/>
    <x v="1"/>
    <x v="9"/>
    <x v="42"/>
    <n v="200"/>
  </r>
  <r>
    <s v="16/02/2026"/>
    <x v="1"/>
    <x v="1"/>
    <x v="15"/>
    <x v="40"/>
    <n v="1600"/>
  </r>
  <r>
    <s v="17/02/2026"/>
    <x v="1"/>
    <x v="1"/>
    <x v="8"/>
    <x v="31"/>
    <n v="1200"/>
  </r>
  <r>
    <s v="18/02/2026"/>
    <x v="1"/>
    <x v="1"/>
    <x v="9"/>
    <x v="32"/>
    <n v="200"/>
  </r>
  <r>
    <s v="19/02/2026"/>
    <x v="1"/>
    <x v="1"/>
    <x v="10"/>
    <x v="33"/>
    <n v="768"/>
  </r>
  <r>
    <s v="20/02/2026"/>
    <x v="1"/>
    <x v="1"/>
    <x v="9"/>
    <x v="34"/>
    <n v="200"/>
  </r>
  <r>
    <s v="21/02/2026"/>
    <x v="1"/>
    <x v="1"/>
    <x v="11"/>
    <x v="31"/>
    <n v="3000"/>
  </r>
  <r>
    <s v="22/02/2026"/>
    <x v="1"/>
    <x v="1"/>
    <x v="9"/>
    <x v="35"/>
    <n v="200"/>
  </r>
  <r>
    <s v="23/02/2026"/>
    <x v="1"/>
    <x v="1"/>
    <x v="12"/>
    <x v="40"/>
    <n v="1344"/>
  </r>
  <r>
    <s v="24/02/2026"/>
    <x v="1"/>
    <x v="1"/>
    <x v="9"/>
    <x v="37"/>
    <n v="200"/>
  </r>
  <r>
    <s v="25/02/2026"/>
    <x v="1"/>
    <x v="1"/>
    <x v="13"/>
    <x v="31"/>
    <n v="1920"/>
  </r>
  <r>
    <s v="26/02/2026"/>
    <x v="1"/>
    <x v="1"/>
    <x v="9"/>
    <x v="38"/>
    <n v="200"/>
  </r>
  <r>
    <s v="27/02/2026"/>
    <x v="1"/>
    <x v="1"/>
    <x v="10"/>
    <x v="33"/>
    <n v="832"/>
  </r>
  <r>
    <s v="28/02/2026"/>
    <x v="1"/>
    <x v="1"/>
    <x v="9"/>
    <x v="39"/>
    <n v="200"/>
  </r>
  <r>
    <s v="01/03/2026"/>
    <x v="2"/>
    <x v="1"/>
    <x v="8"/>
    <x v="31"/>
    <n v="25600"/>
  </r>
  <r>
    <s v="02/03/2026"/>
    <x v="2"/>
    <x v="1"/>
    <x v="9"/>
    <x v="32"/>
    <n v="4160"/>
  </r>
  <r>
    <s v="03/03/2026"/>
    <x v="2"/>
    <x v="1"/>
    <x v="10"/>
    <x v="33"/>
    <n v="10"/>
  </r>
  <r>
    <s v="04/03/2026"/>
    <x v="2"/>
    <x v="1"/>
    <x v="9"/>
    <x v="34"/>
    <n v="4608"/>
  </r>
  <r>
    <s v="05/03/2026"/>
    <x v="2"/>
    <x v="1"/>
    <x v="11"/>
    <x v="31"/>
    <n v="5120"/>
  </r>
  <r>
    <s v="06/03/2026"/>
    <x v="2"/>
    <x v="1"/>
    <x v="9"/>
    <x v="35"/>
    <n v="3072"/>
  </r>
  <r>
    <s v="07/03/2026"/>
    <x v="2"/>
    <x v="1"/>
    <x v="12"/>
    <x v="40"/>
    <n v="100"/>
  </r>
  <r>
    <s v="08/03/2026"/>
    <x v="2"/>
    <x v="1"/>
    <x v="9"/>
    <x v="37"/>
    <n v="3584"/>
  </r>
  <r>
    <s v="09/03/2026"/>
    <x v="2"/>
    <x v="1"/>
    <x v="13"/>
    <x v="31"/>
    <n v="100"/>
  </r>
  <r>
    <s v="10/03/2026"/>
    <x v="2"/>
    <x v="1"/>
    <x v="9"/>
    <x v="38"/>
    <n v="3904"/>
  </r>
  <r>
    <s v="11/03/2026"/>
    <x v="2"/>
    <x v="1"/>
    <x v="10"/>
    <x v="33"/>
    <n v="200"/>
  </r>
  <r>
    <s v="12/03/2026"/>
    <x v="2"/>
    <x v="1"/>
    <x v="9"/>
    <x v="39"/>
    <n v="3200"/>
  </r>
  <r>
    <s v="13/03/2026"/>
    <x v="2"/>
    <x v="1"/>
    <x v="14"/>
    <x v="40"/>
    <n v="2240"/>
  </r>
  <r>
    <s v="14/03/2026"/>
    <x v="2"/>
    <x v="1"/>
    <x v="9"/>
    <x v="41"/>
    <n v="3712"/>
  </r>
  <r>
    <s v="15/03/2026"/>
    <x v="2"/>
    <x v="1"/>
    <x v="9"/>
    <x v="42"/>
    <n v="4416"/>
  </r>
  <r>
    <s v="16/03/2026"/>
    <x v="2"/>
    <x v="1"/>
    <x v="15"/>
    <x v="40"/>
    <n v="2900"/>
  </r>
  <r>
    <s v="17/03/2026"/>
    <x v="2"/>
    <x v="1"/>
    <x v="8"/>
    <x v="31"/>
    <n v="25600"/>
  </r>
  <r>
    <s v="18/03/2026"/>
    <x v="2"/>
    <x v="1"/>
    <x v="9"/>
    <x v="32"/>
    <n v="4160"/>
  </r>
  <r>
    <s v="19/03/2026"/>
    <x v="2"/>
    <x v="1"/>
    <x v="10"/>
    <x v="33"/>
    <n v="768"/>
  </r>
  <r>
    <s v="20/03/2026"/>
    <x v="2"/>
    <x v="1"/>
    <x v="9"/>
    <x v="34"/>
    <n v="4608"/>
  </r>
  <r>
    <s v="21/03/2026"/>
    <x v="2"/>
    <x v="1"/>
    <x v="11"/>
    <x v="31"/>
    <n v="5120"/>
  </r>
  <r>
    <s v="22/03/2026"/>
    <x v="2"/>
    <x v="1"/>
    <x v="9"/>
    <x v="35"/>
    <n v="3072"/>
  </r>
  <r>
    <s v="23/03/2026"/>
    <x v="2"/>
    <x v="1"/>
    <x v="12"/>
    <x v="40"/>
    <n v="1344"/>
  </r>
  <r>
    <s v="24/03/2026"/>
    <x v="2"/>
    <x v="1"/>
    <x v="9"/>
    <x v="37"/>
    <n v="3584"/>
  </r>
  <r>
    <s v="25/03/2026"/>
    <x v="2"/>
    <x v="1"/>
    <x v="13"/>
    <x v="31"/>
    <n v="1920"/>
  </r>
  <r>
    <s v="26/03/2026"/>
    <x v="2"/>
    <x v="1"/>
    <x v="9"/>
    <x v="38"/>
    <n v="3904"/>
  </r>
  <r>
    <s v="27/03/2026"/>
    <x v="2"/>
    <x v="1"/>
    <x v="10"/>
    <x v="33"/>
    <n v="832"/>
  </r>
  <r>
    <s v="28/03/2026"/>
    <x v="2"/>
    <x v="1"/>
    <x v="9"/>
    <x v="39"/>
    <n v="3200"/>
  </r>
  <r>
    <s v="29/03/2026"/>
    <x v="2"/>
    <x v="1"/>
    <x v="14"/>
    <x v="40"/>
    <n v="2240"/>
  </r>
  <r>
    <s v="30/03/2026"/>
    <x v="2"/>
    <x v="1"/>
    <x v="9"/>
    <x v="41"/>
    <n v="3712"/>
  </r>
  <r>
    <s v="31/03/2026"/>
    <x v="2"/>
    <x v="1"/>
    <x v="9"/>
    <x v="42"/>
    <n v="4416"/>
  </r>
  <r>
    <s v="01/04/2026"/>
    <x v="3"/>
    <x v="1"/>
    <x v="8"/>
    <x v="31"/>
    <n v="25600"/>
  </r>
  <r>
    <s v="02/04/2026"/>
    <x v="3"/>
    <x v="1"/>
    <x v="9"/>
    <x v="32"/>
    <n v="4160"/>
  </r>
  <r>
    <s v="03/04/2026"/>
    <x v="3"/>
    <x v="1"/>
    <x v="10"/>
    <x v="33"/>
    <n v="768"/>
  </r>
  <r>
    <s v="04/04/2026"/>
    <x v="3"/>
    <x v="1"/>
    <x v="9"/>
    <x v="34"/>
    <n v="4608"/>
  </r>
  <r>
    <s v="05/04/2026"/>
    <x v="3"/>
    <x v="1"/>
    <x v="11"/>
    <x v="31"/>
    <n v="5120"/>
  </r>
  <r>
    <s v="06/04/2026"/>
    <x v="3"/>
    <x v="1"/>
    <x v="9"/>
    <x v="35"/>
    <n v="3072"/>
  </r>
  <r>
    <s v="07/04/2026"/>
    <x v="3"/>
    <x v="1"/>
    <x v="12"/>
    <x v="40"/>
    <n v="1344"/>
  </r>
  <r>
    <s v="08/04/2026"/>
    <x v="3"/>
    <x v="1"/>
    <x v="9"/>
    <x v="37"/>
    <n v="3584"/>
  </r>
  <r>
    <s v="09/04/2026"/>
    <x v="3"/>
    <x v="1"/>
    <x v="13"/>
    <x v="31"/>
    <n v="1920"/>
  </r>
  <r>
    <s v="10/04/2026"/>
    <x v="3"/>
    <x v="1"/>
    <x v="9"/>
    <x v="38"/>
    <n v="3904"/>
  </r>
  <r>
    <s v="11/04/2026"/>
    <x v="3"/>
    <x v="1"/>
    <x v="10"/>
    <x v="33"/>
    <n v="832"/>
  </r>
  <r>
    <s v="12/04/2026"/>
    <x v="3"/>
    <x v="1"/>
    <x v="9"/>
    <x v="39"/>
    <n v="3200"/>
  </r>
  <r>
    <s v="13/04/2026"/>
    <x v="3"/>
    <x v="1"/>
    <x v="14"/>
    <x v="40"/>
    <n v="111"/>
  </r>
  <r>
    <s v="14/04/2026"/>
    <x v="3"/>
    <x v="1"/>
    <x v="9"/>
    <x v="41"/>
    <n v="3712"/>
  </r>
  <r>
    <s v="15/04/2026"/>
    <x v="3"/>
    <x v="1"/>
    <x v="9"/>
    <x v="42"/>
    <n v="4416"/>
  </r>
  <r>
    <s v="16/04/2026"/>
    <x v="3"/>
    <x v="1"/>
    <x v="15"/>
    <x v="40"/>
    <n v="1600"/>
  </r>
  <r>
    <s v="17/04/2026"/>
    <x v="3"/>
    <x v="1"/>
    <x v="8"/>
    <x v="31"/>
    <n v="25600"/>
  </r>
  <r>
    <s v="18/04/2026"/>
    <x v="3"/>
    <x v="1"/>
    <x v="9"/>
    <x v="32"/>
    <n v="4160"/>
  </r>
  <r>
    <s v="19/04/2026"/>
    <x v="3"/>
    <x v="1"/>
    <x v="10"/>
    <x v="33"/>
    <n v="768"/>
  </r>
  <r>
    <s v="20/04/2026"/>
    <x v="3"/>
    <x v="1"/>
    <x v="9"/>
    <x v="34"/>
    <n v="4608"/>
  </r>
  <r>
    <s v="21/04/2026"/>
    <x v="3"/>
    <x v="1"/>
    <x v="11"/>
    <x v="31"/>
    <n v="1000"/>
  </r>
  <r>
    <s v="22/04/2026"/>
    <x v="3"/>
    <x v="1"/>
    <x v="9"/>
    <x v="35"/>
    <n v="3072"/>
  </r>
  <r>
    <s v="23/04/2026"/>
    <x v="3"/>
    <x v="1"/>
    <x v="12"/>
    <x v="40"/>
    <n v="1344"/>
  </r>
  <r>
    <s v="24/04/2026"/>
    <x v="3"/>
    <x v="1"/>
    <x v="9"/>
    <x v="37"/>
    <n v="3584"/>
  </r>
  <r>
    <s v="25/04/2026"/>
    <x v="3"/>
    <x v="1"/>
    <x v="13"/>
    <x v="31"/>
    <n v="1920"/>
  </r>
  <r>
    <s v="26/04/2026"/>
    <x v="3"/>
    <x v="1"/>
    <x v="9"/>
    <x v="38"/>
    <n v="3904"/>
  </r>
  <r>
    <s v="27/04/2026"/>
    <x v="3"/>
    <x v="1"/>
    <x v="10"/>
    <x v="33"/>
    <n v="832"/>
  </r>
  <r>
    <s v="28/04/2026"/>
    <x v="3"/>
    <x v="1"/>
    <x v="9"/>
    <x v="39"/>
    <n v="3200"/>
  </r>
  <r>
    <s v="29/04/2026"/>
    <x v="3"/>
    <x v="1"/>
    <x v="14"/>
    <x v="40"/>
    <n v="2240"/>
  </r>
  <r>
    <s v="30/04/2026"/>
    <x v="3"/>
    <x v="1"/>
    <x v="9"/>
    <x v="41"/>
    <n v="3712"/>
  </r>
  <r>
    <s v="01/05/2026"/>
    <x v="4"/>
    <x v="1"/>
    <x v="8"/>
    <x v="31"/>
    <n v="25600"/>
  </r>
  <r>
    <s v="02/05/2026"/>
    <x v="4"/>
    <x v="1"/>
    <x v="9"/>
    <x v="32"/>
    <n v="4160"/>
  </r>
  <r>
    <s v="03/05/2026"/>
    <x v="4"/>
    <x v="1"/>
    <x v="10"/>
    <x v="33"/>
    <n v="2500"/>
  </r>
  <r>
    <s v="04/05/2026"/>
    <x v="4"/>
    <x v="1"/>
    <x v="9"/>
    <x v="34"/>
    <n v="4608"/>
  </r>
  <r>
    <s v="05/05/2026"/>
    <x v="4"/>
    <x v="1"/>
    <x v="11"/>
    <x v="31"/>
    <n v="5120"/>
  </r>
  <r>
    <s v="06/05/2026"/>
    <x v="4"/>
    <x v="1"/>
    <x v="9"/>
    <x v="35"/>
    <n v="3072"/>
  </r>
  <r>
    <s v="07/05/2026"/>
    <x v="4"/>
    <x v="1"/>
    <x v="12"/>
    <x v="40"/>
    <n v="999"/>
  </r>
  <r>
    <s v="08/05/2026"/>
    <x v="4"/>
    <x v="1"/>
    <x v="9"/>
    <x v="37"/>
    <n v="3584"/>
  </r>
  <r>
    <s v="09/05/2026"/>
    <x v="4"/>
    <x v="1"/>
    <x v="13"/>
    <x v="31"/>
    <n v="2220"/>
  </r>
  <r>
    <s v="10/05/2026"/>
    <x v="4"/>
    <x v="1"/>
    <x v="9"/>
    <x v="38"/>
    <n v="3904"/>
  </r>
  <r>
    <s v="11/05/2026"/>
    <x v="4"/>
    <x v="1"/>
    <x v="10"/>
    <x v="33"/>
    <n v="832"/>
  </r>
  <r>
    <s v="12/05/2026"/>
    <x v="4"/>
    <x v="1"/>
    <x v="9"/>
    <x v="39"/>
    <n v="3200"/>
  </r>
  <r>
    <s v="13/05/2026"/>
    <x v="4"/>
    <x v="1"/>
    <x v="14"/>
    <x v="40"/>
    <n v="2240"/>
  </r>
  <r>
    <s v="14/05/2026"/>
    <x v="4"/>
    <x v="1"/>
    <x v="9"/>
    <x v="41"/>
    <n v="3712"/>
  </r>
  <r>
    <s v="15/05/2026"/>
    <x v="4"/>
    <x v="1"/>
    <x v="9"/>
    <x v="42"/>
    <n v="4416"/>
  </r>
  <r>
    <s v="16/05/2026"/>
    <x v="4"/>
    <x v="1"/>
    <x v="15"/>
    <x v="40"/>
    <n v="2000"/>
  </r>
  <r>
    <s v="17/05/2026"/>
    <x v="4"/>
    <x v="1"/>
    <x v="8"/>
    <x v="31"/>
    <n v="25600"/>
  </r>
  <r>
    <s v="18/05/2026"/>
    <x v="4"/>
    <x v="1"/>
    <x v="9"/>
    <x v="32"/>
    <n v="4160"/>
  </r>
  <r>
    <s v="19/05/2026"/>
    <x v="4"/>
    <x v="1"/>
    <x v="10"/>
    <x v="33"/>
    <n v="768"/>
  </r>
  <r>
    <s v="20/05/2026"/>
    <x v="4"/>
    <x v="1"/>
    <x v="9"/>
    <x v="34"/>
    <n v="4608"/>
  </r>
  <r>
    <s v="21/05/2026"/>
    <x v="4"/>
    <x v="1"/>
    <x v="11"/>
    <x v="31"/>
    <n v="5120"/>
  </r>
  <r>
    <s v="22/05/2026"/>
    <x v="4"/>
    <x v="1"/>
    <x v="9"/>
    <x v="35"/>
    <n v="3072"/>
  </r>
  <r>
    <s v="23/05/2026"/>
    <x v="4"/>
    <x v="1"/>
    <x v="12"/>
    <x v="40"/>
    <n v="1344"/>
  </r>
  <r>
    <s v="24/05/2026"/>
    <x v="4"/>
    <x v="1"/>
    <x v="9"/>
    <x v="37"/>
    <n v="3584"/>
  </r>
  <r>
    <s v="25/05/2026"/>
    <x v="4"/>
    <x v="1"/>
    <x v="13"/>
    <x v="31"/>
    <n v="1920"/>
  </r>
  <r>
    <s v="26/05/2026"/>
    <x v="4"/>
    <x v="1"/>
    <x v="9"/>
    <x v="38"/>
    <n v="3904"/>
  </r>
  <r>
    <s v="27/05/2026"/>
    <x v="4"/>
    <x v="1"/>
    <x v="10"/>
    <x v="33"/>
    <n v="832"/>
  </r>
  <r>
    <s v="28/05/2026"/>
    <x v="4"/>
    <x v="1"/>
    <x v="9"/>
    <x v="39"/>
    <n v="3200"/>
  </r>
  <r>
    <s v="29/05/2026"/>
    <x v="4"/>
    <x v="1"/>
    <x v="14"/>
    <x v="40"/>
    <n v="2240"/>
  </r>
  <r>
    <s v="30/05/2026"/>
    <x v="4"/>
    <x v="1"/>
    <x v="9"/>
    <x v="41"/>
    <n v="3712"/>
  </r>
  <r>
    <s v="31/05/2026"/>
    <x v="4"/>
    <x v="1"/>
    <x v="9"/>
    <x v="42"/>
    <n v="4416"/>
  </r>
  <r>
    <s v="01/06/2026"/>
    <x v="5"/>
    <x v="1"/>
    <x v="8"/>
    <x v="31"/>
    <n v="25600"/>
  </r>
  <r>
    <s v="02/06/2026"/>
    <x v="5"/>
    <x v="1"/>
    <x v="9"/>
    <x v="32"/>
    <n v="4160"/>
  </r>
  <r>
    <s v="03/06/2026"/>
    <x v="5"/>
    <x v="1"/>
    <x v="10"/>
    <x v="33"/>
    <n v="768"/>
  </r>
  <r>
    <s v="04/06/2026"/>
    <x v="5"/>
    <x v="1"/>
    <x v="9"/>
    <x v="34"/>
    <n v="4608"/>
  </r>
  <r>
    <s v="05/06/2026"/>
    <x v="5"/>
    <x v="1"/>
    <x v="11"/>
    <x v="31"/>
    <n v="1000"/>
  </r>
  <r>
    <s v="06/06/2026"/>
    <x v="5"/>
    <x v="1"/>
    <x v="9"/>
    <x v="35"/>
    <n v="3072"/>
  </r>
  <r>
    <s v="07/06/2026"/>
    <x v="5"/>
    <x v="1"/>
    <x v="12"/>
    <x v="40"/>
    <n v="1344"/>
  </r>
  <r>
    <s v="08/06/2026"/>
    <x v="5"/>
    <x v="1"/>
    <x v="9"/>
    <x v="37"/>
    <n v="3584"/>
  </r>
  <r>
    <s v="09/06/2026"/>
    <x v="5"/>
    <x v="1"/>
    <x v="13"/>
    <x v="31"/>
    <n v="1920"/>
  </r>
  <r>
    <s v="10/06/2026"/>
    <x v="5"/>
    <x v="1"/>
    <x v="9"/>
    <x v="38"/>
    <n v="3904"/>
  </r>
  <r>
    <s v="11/06/2026"/>
    <x v="5"/>
    <x v="1"/>
    <x v="10"/>
    <x v="33"/>
    <n v="832"/>
  </r>
  <r>
    <s v="12/06/2026"/>
    <x v="5"/>
    <x v="1"/>
    <x v="9"/>
    <x v="39"/>
    <n v="3200"/>
  </r>
  <r>
    <s v="13/06/2026"/>
    <x v="5"/>
    <x v="1"/>
    <x v="14"/>
    <x v="40"/>
    <n v="3111"/>
  </r>
  <r>
    <s v="14/06/2026"/>
    <x v="5"/>
    <x v="1"/>
    <x v="9"/>
    <x v="41"/>
    <n v="3712"/>
  </r>
  <r>
    <s v="15/06/2026"/>
    <x v="5"/>
    <x v="1"/>
    <x v="9"/>
    <x v="42"/>
    <n v="4416"/>
  </r>
  <r>
    <s v="16/06/2026"/>
    <x v="5"/>
    <x v="1"/>
    <x v="15"/>
    <x v="40"/>
    <n v="1600"/>
  </r>
  <r>
    <s v="17/06/2026"/>
    <x v="5"/>
    <x v="1"/>
    <x v="8"/>
    <x v="31"/>
    <n v="25600"/>
  </r>
  <r>
    <s v="18/06/2026"/>
    <x v="5"/>
    <x v="1"/>
    <x v="9"/>
    <x v="32"/>
    <n v="4160"/>
  </r>
  <r>
    <s v="19/06/2026"/>
    <x v="5"/>
    <x v="1"/>
    <x v="10"/>
    <x v="33"/>
    <n v="768"/>
  </r>
  <r>
    <s v="20/06/2026"/>
    <x v="5"/>
    <x v="1"/>
    <x v="9"/>
    <x v="34"/>
    <n v="4608"/>
  </r>
  <r>
    <s v="21/06/2026"/>
    <x v="5"/>
    <x v="1"/>
    <x v="11"/>
    <x v="31"/>
    <n v="5120"/>
  </r>
  <r>
    <s v="22/06/2026"/>
    <x v="5"/>
    <x v="1"/>
    <x v="9"/>
    <x v="35"/>
    <n v="3072"/>
  </r>
  <r>
    <s v="23/06/2026"/>
    <x v="5"/>
    <x v="1"/>
    <x v="12"/>
    <x v="40"/>
    <n v="1344"/>
  </r>
  <r>
    <s v="24/06/2026"/>
    <x v="5"/>
    <x v="1"/>
    <x v="9"/>
    <x v="37"/>
    <n v="3584"/>
  </r>
  <r>
    <s v="25/06/2026"/>
    <x v="5"/>
    <x v="1"/>
    <x v="13"/>
    <x v="31"/>
    <n v="1920"/>
  </r>
  <r>
    <s v="26/06/2026"/>
    <x v="5"/>
    <x v="1"/>
    <x v="9"/>
    <x v="38"/>
    <n v="3904"/>
  </r>
  <r>
    <s v="27/06/2026"/>
    <x v="5"/>
    <x v="1"/>
    <x v="10"/>
    <x v="33"/>
    <n v="832"/>
  </r>
  <r>
    <s v="28/06/2026"/>
    <x v="5"/>
    <x v="1"/>
    <x v="9"/>
    <x v="39"/>
    <n v="3200"/>
  </r>
  <r>
    <s v="29/06/2026"/>
    <x v="5"/>
    <x v="1"/>
    <x v="14"/>
    <x v="40"/>
    <n v="2240"/>
  </r>
  <r>
    <s v="30/06/2026"/>
    <x v="5"/>
    <x v="1"/>
    <x v="9"/>
    <x v="41"/>
    <n v="3712"/>
  </r>
  <r>
    <s v="01/07/2026"/>
    <x v="6"/>
    <x v="1"/>
    <x v="8"/>
    <x v="31"/>
    <n v="25600"/>
  </r>
  <r>
    <s v="02/07/2026"/>
    <x v="6"/>
    <x v="1"/>
    <x v="9"/>
    <x v="32"/>
    <n v="4160"/>
  </r>
  <r>
    <s v="03/07/2026"/>
    <x v="6"/>
    <x v="1"/>
    <x v="10"/>
    <x v="33"/>
    <n v="768"/>
  </r>
  <r>
    <s v="04/07/2026"/>
    <x v="6"/>
    <x v="1"/>
    <x v="9"/>
    <x v="34"/>
    <n v="4608"/>
  </r>
  <r>
    <s v="05/07/2026"/>
    <x v="6"/>
    <x v="1"/>
    <x v="11"/>
    <x v="31"/>
    <n v="5120"/>
  </r>
  <r>
    <s v="06/07/2026"/>
    <x v="6"/>
    <x v="1"/>
    <x v="9"/>
    <x v="35"/>
    <n v="3072"/>
  </r>
  <r>
    <s v="07/07/2026"/>
    <x v="6"/>
    <x v="1"/>
    <x v="12"/>
    <x v="40"/>
    <n v="2500"/>
  </r>
  <r>
    <s v="08/07/2026"/>
    <x v="6"/>
    <x v="1"/>
    <x v="9"/>
    <x v="37"/>
    <n v="3584"/>
  </r>
  <r>
    <s v="09/07/2026"/>
    <x v="6"/>
    <x v="1"/>
    <x v="13"/>
    <x v="31"/>
    <n v="2000"/>
  </r>
  <r>
    <s v="10/07/2026"/>
    <x v="6"/>
    <x v="1"/>
    <x v="9"/>
    <x v="38"/>
    <n v="3904"/>
  </r>
  <r>
    <s v="11/07/2026"/>
    <x v="6"/>
    <x v="1"/>
    <x v="10"/>
    <x v="33"/>
    <n v="500"/>
  </r>
  <r>
    <s v="12/07/2026"/>
    <x v="6"/>
    <x v="1"/>
    <x v="9"/>
    <x v="39"/>
    <n v="3200"/>
  </r>
  <r>
    <s v="13/07/2026"/>
    <x v="6"/>
    <x v="1"/>
    <x v="14"/>
    <x v="40"/>
    <n v="2240"/>
  </r>
  <r>
    <s v="14/07/2026"/>
    <x v="6"/>
    <x v="1"/>
    <x v="9"/>
    <x v="41"/>
    <n v="3712"/>
  </r>
  <r>
    <s v="15/07/2026"/>
    <x v="6"/>
    <x v="1"/>
    <x v="9"/>
    <x v="42"/>
    <n v="4416"/>
  </r>
  <r>
    <s v="16/07/2026"/>
    <x v="6"/>
    <x v="1"/>
    <x v="15"/>
    <x v="40"/>
    <n v="2121"/>
  </r>
  <r>
    <s v="17/07/2026"/>
    <x v="6"/>
    <x v="1"/>
    <x v="8"/>
    <x v="31"/>
    <n v="25600"/>
  </r>
  <r>
    <s v="18/07/2026"/>
    <x v="6"/>
    <x v="1"/>
    <x v="9"/>
    <x v="32"/>
    <n v="4160"/>
  </r>
  <r>
    <s v="19/07/2026"/>
    <x v="6"/>
    <x v="1"/>
    <x v="10"/>
    <x v="33"/>
    <n v="768"/>
  </r>
  <r>
    <s v="20/07/2026"/>
    <x v="6"/>
    <x v="1"/>
    <x v="9"/>
    <x v="34"/>
    <n v="4608"/>
  </r>
  <r>
    <s v="21/07/2026"/>
    <x v="6"/>
    <x v="1"/>
    <x v="11"/>
    <x v="31"/>
    <n v="5120"/>
  </r>
  <r>
    <s v="22/07/2026"/>
    <x v="6"/>
    <x v="1"/>
    <x v="9"/>
    <x v="35"/>
    <n v="3072"/>
  </r>
  <r>
    <s v="23/07/2026"/>
    <x v="6"/>
    <x v="1"/>
    <x v="12"/>
    <x v="40"/>
    <n v="1344"/>
  </r>
  <r>
    <s v="24/07/2026"/>
    <x v="6"/>
    <x v="1"/>
    <x v="9"/>
    <x v="37"/>
    <n v="3584"/>
  </r>
  <r>
    <s v="25/07/2026"/>
    <x v="6"/>
    <x v="1"/>
    <x v="13"/>
    <x v="31"/>
    <n v="1920"/>
  </r>
  <r>
    <s v="26/07/2026"/>
    <x v="6"/>
    <x v="1"/>
    <x v="9"/>
    <x v="38"/>
    <n v="3904"/>
  </r>
  <r>
    <s v="27/07/2026"/>
    <x v="6"/>
    <x v="1"/>
    <x v="10"/>
    <x v="33"/>
    <n v="832"/>
  </r>
  <r>
    <s v="28/07/2026"/>
    <x v="6"/>
    <x v="1"/>
    <x v="9"/>
    <x v="39"/>
    <n v="3200"/>
  </r>
  <r>
    <s v="29/07/2026"/>
    <x v="6"/>
    <x v="1"/>
    <x v="14"/>
    <x v="40"/>
    <n v="2240"/>
  </r>
  <r>
    <s v="30/07/2026"/>
    <x v="6"/>
    <x v="1"/>
    <x v="9"/>
    <x v="41"/>
    <n v="3712"/>
  </r>
  <r>
    <s v="31/07/2026"/>
    <x v="6"/>
    <x v="1"/>
    <x v="9"/>
    <x v="42"/>
    <n v="100"/>
  </r>
  <r>
    <s v="01/08/2026"/>
    <x v="7"/>
    <x v="1"/>
    <x v="8"/>
    <x v="31"/>
    <n v="25600"/>
  </r>
  <r>
    <s v="02/08/2026"/>
    <x v="7"/>
    <x v="1"/>
    <x v="9"/>
    <x v="32"/>
    <n v="100"/>
  </r>
  <r>
    <s v="03/08/2026"/>
    <x v="7"/>
    <x v="1"/>
    <x v="10"/>
    <x v="33"/>
    <n v="768"/>
  </r>
  <r>
    <s v="04/08/2026"/>
    <x v="7"/>
    <x v="1"/>
    <x v="9"/>
    <x v="34"/>
    <n v="4608"/>
  </r>
  <r>
    <s v="05/08/2026"/>
    <x v="7"/>
    <x v="1"/>
    <x v="11"/>
    <x v="31"/>
    <n v="500"/>
  </r>
  <r>
    <s v="06/08/2026"/>
    <x v="7"/>
    <x v="1"/>
    <x v="9"/>
    <x v="35"/>
    <n v="3072"/>
  </r>
  <r>
    <s v="07/08/2026"/>
    <x v="7"/>
    <x v="1"/>
    <x v="12"/>
    <x v="40"/>
    <n v="1344"/>
  </r>
  <r>
    <s v="08/08/2026"/>
    <x v="7"/>
    <x v="1"/>
    <x v="9"/>
    <x v="37"/>
    <n v="3584"/>
  </r>
  <r>
    <s v="09/08/2026"/>
    <x v="7"/>
    <x v="1"/>
    <x v="13"/>
    <x v="31"/>
    <n v="1920"/>
  </r>
  <r>
    <s v="10/08/2026"/>
    <x v="7"/>
    <x v="1"/>
    <x v="9"/>
    <x v="38"/>
    <n v="3904"/>
  </r>
  <r>
    <s v="11/08/2026"/>
    <x v="7"/>
    <x v="1"/>
    <x v="10"/>
    <x v="33"/>
    <n v="832"/>
  </r>
  <r>
    <s v="12/08/2026"/>
    <x v="7"/>
    <x v="1"/>
    <x v="9"/>
    <x v="39"/>
    <n v="3200"/>
  </r>
  <r>
    <s v="13/08/2026"/>
    <x v="7"/>
    <x v="1"/>
    <x v="14"/>
    <x v="40"/>
    <n v="3000"/>
  </r>
  <r>
    <s v="14/08/2026"/>
    <x v="7"/>
    <x v="1"/>
    <x v="9"/>
    <x v="41"/>
    <n v="3712"/>
  </r>
  <r>
    <s v="15/08/2026"/>
    <x v="7"/>
    <x v="1"/>
    <x v="9"/>
    <x v="42"/>
    <n v="4416"/>
  </r>
  <r>
    <s v="16/08/2026"/>
    <x v="7"/>
    <x v="1"/>
    <x v="15"/>
    <x v="40"/>
    <n v="1600"/>
  </r>
  <r>
    <s v="17/08/2026"/>
    <x v="7"/>
    <x v="1"/>
    <x v="8"/>
    <x v="31"/>
    <n v="25600"/>
  </r>
  <r>
    <s v="18/08/2026"/>
    <x v="7"/>
    <x v="1"/>
    <x v="9"/>
    <x v="32"/>
    <n v="4160"/>
  </r>
  <r>
    <s v="19/08/2026"/>
    <x v="7"/>
    <x v="1"/>
    <x v="10"/>
    <x v="33"/>
    <n v="768"/>
  </r>
  <r>
    <s v="20/08/2026"/>
    <x v="7"/>
    <x v="1"/>
    <x v="9"/>
    <x v="34"/>
    <n v="4608"/>
  </r>
  <r>
    <s v="21/08/2026"/>
    <x v="7"/>
    <x v="1"/>
    <x v="11"/>
    <x v="31"/>
    <n v="5120"/>
  </r>
  <r>
    <s v="22/08/2026"/>
    <x v="7"/>
    <x v="1"/>
    <x v="9"/>
    <x v="35"/>
    <n v="3072"/>
  </r>
  <r>
    <s v="23/08/2026"/>
    <x v="7"/>
    <x v="1"/>
    <x v="12"/>
    <x v="40"/>
    <n v="1344"/>
  </r>
  <r>
    <s v="24/08/2026"/>
    <x v="7"/>
    <x v="1"/>
    <x v="9"/>
    <x v="37"/>
    <n v="3584"/>
  </r>
  <r>
    <s v="25/08/2026"/>
    <x v="7"/>
    <x v="1"/>
    <x v="13"/>
    <x v="31"/>
    <n v="1920"/>
  </r>
  <r>
    <s v="26/08/2026"/>
    <x v="7"/>
    <x v="1"/>
    <x v="9"/>
    <x v="38"/>
    <n v="3904"/>
  </r>
  <r>
    <s v="27/08/2026"/>
    <x v="7"/>
    <x v="1"/>
    <x v="10"/>
    <x v="33"/>
    <n v="832"/>
  </r>
  <r>
    <s v="28/08/2026"/>
    <x v="7"/>
    <x v="1"/>
    <x v="9"/>
    <x v="39"/>
    <n v="3200"/>
  </r>
  <r>
    <s v="29/08/2026"/>
    <x v="7"/>
    <x v="1"/>
    <x v="14"/>
    <x v="40"/>
    <n v="2240"/>
  </r>
  <r>
    <s v="30/08/2026"/>
    <x v="7"/>
    <x v="1"/>
    <x v="9"/>
    <x v="41"/>
    <n v="3712"/>
  </r>
  <r>
    <s v="31/08/2026"/>
    <x v="7"/>
    <x v="1"/>
    <x v="9"/>
    <x v="42"/>
    <n v="4416"/>
  </r>
  <r>
    <s v="01/09/2026"/>
    <x v="8"/>
    <x v="1"/>
    <x v="8"/>
    <x v="31"/>
    <n v="25600"/>
  </r>
  <r>
    <s v="02/09/2026"/>
    <x v="8"/>
    <x v="1"/>
    <x v="9"/>
    <x v="32"/>
    <n v="4160"/>
  </r>
  <r>
    <s v="03/09/2026"/>
    <x v="8"/>
    <x v="1"/>
    <x v="10"/>
    <x v="33"/>
    <n v="768"/>
  </r>
  <r>
    <s v="04/09/2026"/>
    <x v="8"/>
    <x v="1"/>
    <x v="9"/>
    <x v="34"/>
    <n v="4608"/>
  </r>
  <r>
    <s v="05/09/2026"/>
    <x v="8"/>
    <x v="1"/>
    <x v="11"/>
    <x v="31"/>
    <n v="5120"/>
  </r>
  <r>
    <s v="06/09/2026"/>
    <x v="8"/>
    <x v="1"/>
    <x v="9"/>
    <x v="35"/>
    <n v="3072"/>
  </r>
  <r>
    <s v="07/09/2026"/>
    <x v="8"/>
    <x v="1"/>
    <x v="12"/>
    <x v="40"/>
    <n v="2500"/>
  </r>
  <r>
    <s v="08/09/2026"/>
    <x v="8"/>
    <x v="1"/>
    <x v="9"/>
    <x v="37"/>
    <n v="3584"/>
  </r>
  <r>
    <s v="09/09/2026"/>
    <x v="8"/>
    <x v="1"/>
    <x v="13"/>
    <x v="31"/>
    <n v="500"/>
  </r>
  <r>
    <s v="10/09/2026"/>
    <x v="8"/>
    <x v="1"/>
    <x v="9"/>
    <x v="38"/>
    <n v="3904"/>
  </r>
  <r>
    <s v="11/09/2026"/>
    <x v="8"/>
    <x v="1"/>
    <x v="10"/>
    <x v="33"/>
    <n v="1999"/>
  </r>
  <r>
    <s v="12/09/2026"/>
    <x v="8"/>
    <x v="1"/>
    <x v="9"/>
    <x v="39"/>
    <n v="3200"/>
  </r>
  <r>
    <s v="13/09/2026"/>
    <x v="8"/>
    <x v="1"/>
    <x v="14"/>
    <x v="40"/>
    <n v="2240"/>
  </r>
  <r>
    <s v="14/09/2026"/>
    <x v="8"/>
    <x v="1"/>
    <x v="9"/>
    <x v="41"/>
    <n v="3712"/>
  </r>
  <r>
    <s v="15/09/2026"/>
    <x v="8"/>
    <x v="1"/>
    <x v="9"/>
    <x v="42"/>
    <n v="4416"/>
  </r>
  <r>
    <s v="16/09/2026"/>
    <x v="8"/>
    <x v="1"/>
    <x v="15"/>
    <x v="40"/>
    <n v="1500"/>
  </r>
  <r>
    <s v="17/09/2026"/>
    <x v="8"/>
    <x v="1"/>
    <x v="8"/>
    <x v="31"/>
    <n v="25600"/>
  </r>
  <r>
    <s v="18/09/2026"/>
    <x v="8"/>
    <x v="1"/>
    <x v="9"/>
    <x v="32"/>
    <n v="4160"/>
  </r>
  <r>
    <s v="19/09/2026"/>
    <x v="8"/>
    <x v="1"/>
    <x v="10"/>
    <x v="33"/>
    <n v="768"/>
  </r>
  <r>
    <s v="20/09/2026"/>
    <x v="8"/>
    <x v="1"/>
    <x v="9"/>
    <x v="34"/>
    <n v="4608"/>
  </r>
  <r>
    <s v="21/09/2026"/>
    <x v="8"/>
    <x v="1"/>
    <x v="11"/>
    <x v="31"/>
    <n v="5120"/>
  </r>
  <r>
    <s v="22/09/2026"/>
    <x v="8"/>
    <x v="1"/>
    <x v="9"/>
    <x v="35"/>
    <n v="3072"/>
  </r>
  <r>
    <s v="23/09/2026"/>
    <x v="8"/>
    <x v="1"/>
    <x v="12"/>
    <x v="40"/>
    <n v="1344"/>
  </r>
  <r>
    <s v="24/09/2026"/>
    <x v="8"/>
    <x v="1"/>
    <x v="9"/>
    <x v="37"/>
    <n v="3584"/>
  </r>
  <r>
    <s v="25/09/2026"/>
    <x v="8"/>
    <x v="1"/>
    <x v="13"/>
    <x v="31"/>
    <n v="1920"/>
  </r>
  <r>
    <s v="26/09/2026"/>
    <x v="8"/>
    <x v="1"/>
    <x v="9"/>
    <x v="38"/>
    <n v="3904"/>
  </r>
  <r>
    <s v="27/09/2026"/>
    <x v="8"/>
    <x v="1"/>
    <x v="10"/>
    <x v="33"/>
    <n v="832"/>
  </r>
  <r>
    <s v="28/09/2026"/>
    <x v="8"/>
    <x v="1"/>
    <x v="9"/>
    <x v="39"/>
    <n v="3200"/>
  </r>
  <r>
    <s v="29/09/2026"/>
    <x v="8"/>
    <x v="1"/>
    <x v="14"/>
    <x v="40"/>
    <n v="2240"/>
  </r>
  <r>
    <s v="30/09/2026"/>
    <x v="8"/>
    <x v="1"/>
    <x v="9"/>
    <x v="41"/>
    <n v="3712"/>
  </r>
  <r>
    <s v="01/10/2026"/>
    <x v="9"/>
    <x v="1"/>
    <x v="8"/>
    <x v="31"/>
    <n v="25600"/>
  </r>
  <r>
    <s v="02/10/2026"/>
    <x v="9"/>
    <x v="1"/>
    <x v="9"/>
    <x v="32"/>
    <n v="4160"/>
  </r>
  <r>
    <s v="03/10/2026"/>
    <x v="9"/>
    <x v="1"/>
    <x v="10"/>
    <x v="33"/>
    <n v="768"/>
  </r>
  <r>
    <s v="04/10/2026"/>
    <x v="9"/>
    <x v="1"/>
    <x v="9"/>
    <x v="34"/>
    <n v="4608"/>
  </r>
  <r>
    <s v="05/10/2026"/>
    <x v="9"/>
    <x v="1"/>
    <x v="11"/>
    <x v="31"/>
    <n v="200"/>
  </r>
  <r>
    <s v="06/10/2026"/>
    <x v="9"/>
    <x v="1"/>
    <x v="9"/>
    <x v="35"/>
    <n v="3072"/>
  </r>
  <r>
    <s v="07/10/2026"/>
    <x v="9"/>
    <x v="1"/>
    <x v="12"/>
    <x v="40"/>
    <n v="1344"/>
  </r>
  <r>
    <s v="08/10/2026"/>
    <x v="9"/>
    <x v="1"/>
    <x v="9"/>
    <x v="37"/>
    <n v="3584"/>
  </r>
  <r>
    <s v="09/10/2026"/>
    <x v="9"/>
    <x v="1"/>
    <x v="13"/>
    <x v="31"/>
    <n v="4000"/>
  </r>
  <r>
    <s v="10/10/2026"/>
    <x v="9"/>
    <x v="1"/>
    <x v="9"/>
    <x v="38"/>
    <n v="3904"/>
  </r>
  <r>
    <s v="11/10/2026"/>
    <x v="9"/>
    <x v="1"/>
    <x v="10"/>
    <x v="33"/>
    <n v="832"/>
  </r>
  <r>
    <s v="12/10/2026"/>
    <x v="9"/>
    <x v="1"/>
    <x v="9"/>
    <x v="39"/>
    <n v="3200"/>
  </r>
  <r>
    <s v="13/10/2026"/>
    <x v="9"/>
    <x v="1"/>
    <x v="14"/>
    <x v="40"/>
    <n v="3000"/>
  </r>
  <r>
    <s v="14/10/2026"/>
    <x v="9"/>
    <x v="1"/>
    <x v="9"/>
    <x v="41"/>
    <n v="3712"/>
  </r>
  <r>
    <s v="15/10/2026"/>
    <x v="9"/>
    <x v="1"/>
    <x v="9"/>
    <x v="42"/>
    <n v="4416"/>
  </r>
  <r>
    <s v="16/10/2026"/>
    <x v="9"/>
    <x v="1"/>
    <x v="15"/>
    <x v="40"/>
    <n v="4500"/>
  </r>
  <r>
    <s v="17/10/2026"/>
    <x v="9"/>
    <x v="1"/>
    <x v="8"/>
    <x v="31"/>
    <n v="25600"/>
  </r>
  <r>
    <s v="18/10/2026"/>
    <x v="9"/>
    <x v="1"/>
    <x v="9"/>
    <x v="32"/>
    <n v="4160"/>
  </r>
  <r>
    <s v="19/10/2026"/>
    <x v="9"/>
    <x v="1"/>
    <x v="10"/>
    <x v="33"/>
    <n v="768"/>
  </r>
  <r>
    <s v="20/10/2026"/>
    <x v="9"/>
    <x v="1"/>
    <x v="9"/>
    <x v="34"/>
    <n v="4608"/>
  </r>
  <r>
    <s v="21/10/2026"/>
    <x v="9"/>
    <x v="1"/>
    <x v="11"/>
    <x v="31"/>
    <n v="5120"/>
  </r>
  <r>
    <s v="22/10/2026"/>
    <x v="9"/>
    <x v="1"/>
    <x v="9"/>
    <x v="35"/>
    <n v="3072"/>
  </r>
  <r>
    <s v="23/10/2026"/>
    <x v="9"/>
    <x v="1"/>
    <x v="12"/>
    <x v="40"/>
    <n v="1344"/>
  </r>
  <r>
    <s v="24/10/2026"/>
    <x v="9"/>
    <x v="1"/>
    <x v="9"/>
    <x v="37"/>
    <n v="3584"/>
  </r>
  <r>
    <s v="25/10/2026"/>
    <x v="9"/>
    <x v="1"/>
    <x v="13"/>
    <x v="31"/>
    <n v="1920"/>
  </r>
  <r>
    <s v="26/10/2026"/>
    <x v="9"/>
    <x v="1"/>
    <x v="9"/>
    <x v="38"/>
    <n v="3904"/>
  </r>
  <r>
    <s v="27/10/2026"/>
    <x v="9"/>
    <x v="1"/>
    <x v="10"/>
    <x v="33"/>
    <n v="832"/>
  </r>
  <r>
    <s v="28/10/2026"/>
    <x v="9"/>
    <x v="1"/>
    <x v="9"/>
    <x v="39"/>
    <n v="3200"/>
  </r>
  <r>
    <s v="29/10/2026"/>
    <x v="9"/>
    <x v="1"/>
    <x v="14"/>
    <x v="40"/>
    <n v="2240"/>
  </r>
  <r>
    <s v="30/10/2026"/>
    <x v="9"/>
    <x v="1"/>
    <x v="9"/>
    <x v="41"/>
    <n v="3712"/>
  </r>
  <r>
    <s v="31/10/2026"/>
    <x v="9"/>
    <x v="1"/>
    <x v="9"/>
    <x v="42"/>
    <n v="4416"/>
  </r>
  <r>
    <s v="01/11/2026"/>
    <x v="10"/>
    <x v="1"/>
    <x v="8"/>
    <x v="31"/>
    <n v="25600"/>
  </r>
  <r>
    <s v="02/11/2026"/>
    <x v="10"/>
    <x v="1"/>
    <x v="9"/>
    <x v="32"/>
    <n v="4160"/>
  </r>
  <r>
    <s v="03/11/2026"/>
    <x v="10"/>
    <x v="1"/>
    <x v="10"/>
    <x v="33"/>
    <n v="768"/>
  </r>
  <r>
    <s v="04/11/2026"/>
    <x v="10"/>
    <x v="1"/>
    <x v="9"/>
    <x v="34"/>
    <n v="4608"/>
  </r>
  <r>
    <s v="05/11/2026"/>
    <x v="10"/>
    <x v="1"/>
    <x v="11"/>
    <x v="31"/>
    <n v="5120"/>
  </r>
  <r>
    <s v="06/11/2026"/>
    <x v="10"/>
    <x v="1"/>
    <x v="9"/>
    <x v="35"/>
    <n v="3072"/>
  </r>
  <r>
    <s v="07/11/2026"/>
    <x v="10"/>
    <x v="1"/>
    <x v="12"/>
    <x v="40"/>
    <n v="6000"/>
  </r>
  <r>
    <s v="08/11/2026"/>
    <x v="10"/>
    <x v="1"/>
    <x v="9"/>
    <x v="37"/>
    <n v="3584"/>
  </r>
  <r>
    <s v="09/11/2026"/>
    <x v="10"/>
    <x v="1"/>
    <x v="13"/>
    <x v="31"/>
    <n v="1920"/>
  </r>
  <r>
    <s v="10/11/2026"/>
    <x v="10"/>
    <x v="1"/>
    <x v="9"/>
    <x v="38"/>
    <n v="3904"/>
  </r>
  <r>
    <s v="11/11/2026"/>
    <x v="10"/>
    <x v="1"/>
    <x v="10"/>
    <x v="33"/>
    <n v="8000"/>
  </r>
  <r>
    <s v="12/11/2026"/>
    <x v="10"/>
    <x v="1"/>
    <x v="9"/>
    <x v="39"/>
    <n v="3200"/>
  </r>
  <r>
    <s v="13/11/2026"/>
    <x v="10"/>
    <x v="1"/>
    <x v="14"/>
    <x v="40"/>
    <n v="2240"/>
  </r>
  <r>
    <s v="14/11/2026"/>
    <x v="10"/>
    <x v="1"/>
    <x v="9"/>
    <x v="41"/>
    <n v="3712"/>
  </r>
  <r>
    <s v="15/11/2026"/>
    <x v="10"/>
    <x v="1"/>
    <x v="9"/>
    <x v="42"/>
    <n v="4416"/>
  </r>
  <r>
    <s v="16/11/2026"/>
    <x v="10"/>
    <x v="1"/>
    <x v="15"/>
    <x v="40"/>
    <n v="1600"/>
  </r>
  <r>
    <s v="17/11/2026"/>
    <x v="10"/>
    <x v="1"/>
    <x v="8"/>
    <x v="31"/>
    <n v="25600"/>
  </r>
  <r>
    <s v="18/11/2026"/>
    <x v="10"/>
    <x v="1"/>
    <x v="9"/>
    <x v="32"/>
    <n v="4160"/>
  </r>
  <r>
    <s v="19/11/2026"/>
    <x v="10"/>
    <x v="1"/>
    <x v="10"/>
    <x v="33"/>
    <n v="768"/>
  </r>
  <r>
    <s v="20/11/2026"/>
    <x v="10"/>
    <x v="1"/>
    <x v="9"/>
    <x v="34"/>
    <n v="4608"/>
  </r>
  <r>
    <s v="21/11/2026"/>
    <x v="10"/>
    <x v="1"/>
    <x v="11"/>
    <x v="31"/>
    <n v="5120"/>
  </r>
  <r>
    <s v="22/11/2026"/>
    <x v="10"/>
    <x v="1"/>
    <x v="9"/>
    <x v="35"/>
    <n v="3072"/>
  </r>
  <r>
    <s v="23/11/2026"/>
    <x v="10"/>
    <x v="1"/>
    <x v="12"/>
    <x v="40"/>
    <n v="1344"/>
  </r>
  <r>
    <s v="24/11/2026"/>
    <x v="10"/>
    <x v="1"/>
    <x v="9"/>
    <x v="37"/>
    <n v="3584"/>
  </r>
  <r>
    <s v="25/11/2026"/>
    <x v="10"/>
    <x v="1"/>
    <x v="13"/>
    <x v="31"/>
    <n v="1920"/>
  </r>
  <r>
    <s v="26/11/2026"/>
    <x v="10"/>
    <x v="1"/>
    <x v="9"/>
    <x v="38"/>
    <n v="3904"/>
  </r>
  <r>
    <s v="27/11/2026"/>
    <x v="10"/>
    <x v="1"/>
    <x v="10"/>
    <x v="33"/>
    <n v="832"/>
  </r>
  <r>
    <s v="28/11/2026"/>
    <x v="10"/>
    <x v="1"/>
    <x v="9"/>
    <x v="39"/>
    <n v="3200"/>
  </r>
  <r>
    <s v="29/11/2026"/>
    <x v="10"/>
    <x v="1"/>
    <x v="14"/>
    <x v="40"/>
    <n v="2240"/>
  </r>
  <r>
    <s v="30/11/2026"/>
    <x v="10"/>
    <x v="1"/>
    <x v="9"/>
    <x v="41"/>
    <n v="3712"/>
  </r>
  <r>
    <s v="01/12/2026"/>
    <x v="11"/>
    <x v="1"/>
    <x v="8"/>
    <x v="31"/>
    <n v="25600"/>
  </r>
  <r>
    <s v="02/12/2026"/>
    <x v="11"/>
    <x v="1"/>
    <x v="9"/>
    <x v="32"/>
    <n v="4160"/>
  </r>
  <r>
    <s v="03/12/2026"/>
    <x v="11"/>
    <x v="1"/>
    <x v="10"/>
    <x v="33"/>
    <n v="768"/>
  </r>
  <r>
    <s v="04/12/2026"/>
    <x v="11"/>
    <x v="1"/>
    <x v="9"/>
    <x v="34"/>
    <n v="4608"/>
  </r>
  <r>
    <s v="05/12/2026"/>
    <x v="11"/>
    <x v="1"/>
    <x v="11"/>
    <x v="31"/>
    <n v="2000"/>
  </r>
  <r>
    <s v="06/12/2026"/>
    <x v="11"/>
    <x v="1"/>
    <x v="9"/>
    <x v="35"/>
    <n v="3072"/>
  </r>
  <r>
    <s v="07/12/2026"/>
    <x v="11"/>
    <x v="1"/>
    <x v="12"/>
    <x v="40"/>
    <n v="1344"/>
  </r>
  <r>
    <s v="08/12/2026"/>
    <x v="11"/>
    <x v="1"/>
    <x v="9"/>
    <x v="37"/>
    <n v="3584"/>
  </r>
  <r>
    <s v="09/12/2026"/>
    <x v="11"/>
    <x v="1"/>
    <x v="13"/>
    <x v="31"/>
    <n v="3500"/>
  </r>
  <r>
    <s v="10/12/2026"/>
    <x v="11"/>
    <x v="1"/>
    <x v="9"/>
    <x v="38"/>
    <n v="3904"/>
  </r>
  <r>
    <s v="11/12/2026"/>
    <x v="11"/>
    <x v="1"/>
    <x v="10"/>
    <x v="33"/>
    <n v="832"/>
  </r>
  <r>
    <s v="12/12/2026"/>
    <x v="11"/>
    <x v="1"/>
    <x v="9"/>
    <x v="39"/>
    <n v="3200"/>
  </r>
  <r>
    <s v="13/12/2026"/>
    <x v="11"/>
    <x v="1"/>
    <x v="14"/>
    <x v="40"/>
    <n v="2999"/>
  </r>
  <r>
    <s v="14/12/2026"/>
    <x v="11"/>
    <x v="1"/>
    <x v="9"/>
    <x v="41"/>
    <n v="3712"/>
  </r>
  <r>
    <s v="15/12/2026"/>
    <x v="11"/>
    <x v="1"/>
    <x v="9"/>
    <x v="42"/>
    <n v="4416"/>
  </r>
  <r>
    <s v="16/12/2026"/>
    <x v="11"/>
    <x v="1"/>
    <x v="15"/>
    <x v="40"/>
    <n v="6000"/>
  </r>
  <r>
    <s v="17/12/2026"/>
    <x v="11"/>
    <x v="1"/>
    <x v="8"/>
    <x v="31"/>
    <n v="25600"/>
  </r>
  <r>
    <s v="18/12/2026"/>
    <x v="11"/>
    <x v="1"/>
    <x v="9"/>
    <x v="32"/>
    <n v="4160"/>
  </r>
  <r>
    <s v="19/12/2026"/>
    <x v="11"/>
    <x v="1"/>
    <x v="10"/>
    <x v="33"/>
    <n v="768"/>
  </r>
  <r>
    <s v="20/12/2026"/>
    <x v="11"/>
    <x v="1"/>
    <x v="9"/>
    <x v="34"/>
    <n v="4608"/>
  </r>
  <r>
    <s v="21/12/2026"/>
    <x v="11"/>
    <x v="1"/>
    <x v="11"/>
    <x v="31"/>
    <n v="5120"/>
  </r>
  <r>
    <s v="22/12/2026"/>
    <x v="11"/>
    <x v="1"/>
    <x v="9"/>
    <x v="35"/>
    <n v="3072"/>
  </r>
  <r>
    <s v="23/12/2026"/>
    <x v="11"/>
    <x v="1"/>
    <x v="12"/>
    <x v="40"/>
    <n v="1344"/>
  </r>
  <r>
    <s v="24/12/2026"/>
    <x v="11"/>
    <x v="1"/>
    <x v="9"/>
    <x v="37"/>
    <n v="3584"/>
  </r>
  <r>
    <s v="25/12/2026"/>
    <x v="11"/>
    <x v="1"/>
    <x v="13"/>
    <x v="31"/>
    <n v="1920"/>
  </r>
  <r>
    <s v="26/12/2026"/>
    <x v="11"/>
    <x v="1"/>
    <x v="9"/>
    <x v="38"/>
    <n v="3904"/>
  </r>
  <r>
    <s v="27/12/2026"/>
    <x v="11"/>
    <x v="1"/>
    <x v="10"/>
    <x v="33"/>
    <n v="832"/>
  </r>
  <r>
    <s v="28/12/2026"/>
    <x v="11"/>
    <x v="1"/>
    <x v="9"/>
    <x v="39"/>
    <n v="3200"/>
  </r>
  <r>
    <s v="29/12/2026"/>
    <x v="11"/>
    <x v="1"/>
    <x v="14"/>
    <x v="40"/>
    <n v="2240"/>
  </r>
  <r>
    <s v="30/12/2026"/>
    <x v="11"/>
    <x v="1"/>
    <x v="9"/>
    <x v="41"/>
    <n v="3712"/>
  </r>
  <r>
    <s v="31/12/2026"/>
    <x v="11"/>
    <x v="1"/>
    <x v="9"/>
    <x v="42"/>
    <n v="4416"/>
  </r>
  <r>
    <s v="15/12/2026"/>
    <x v="11"/>
    <x v="0"/>
    <x v="0"/>
    <x v="23"/>
    <n v="1055.4768750000001"/>
  </r>
  <r>
    <s v="02/10/2026"/>
    <x v="11"/>
    <x v="0"/>
    <x v="6"/>
    <x v="22"/>
    <n v="35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64F44C7-2916-449D-AD66-92729E09ECCE}"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2" firstHeaderRow="1" firstDataRow="1" firstDataCol="1" rowPageCount="1" colPageCount="1"/>
  <pivotFields count="6">
    <pivotField showAll="0"/>
    <pivotField showAll="0">
      <items count="13">
        <item x="0"/>
        <item x="1"/>
        <item x="2"/>
        <item x="3"/>
        <item x="4"/>
        <item x="5"/>
        <item x="6"/>
        <item x="7"/>
        <item x="8"/>
        <item x="9"/>
        <item x="10"/>
        <item x="11"/>
        <item t="default"/>
      </items>
    </pivotField>
    <pivotField axis="axisPage" showAll="0">
      <items count="3">
        <item x="0"/>
        <item x="1"/>
        <item t="default"/>
      </items>
    </pivotField>
    <pivotField axis="axisRow" showAll="0">
      <items count="17">
        <item x="5"/>
        <item x="11"/>
        <item x="1"/>
        <item x="15"/>
        <item x="2"/>
        <item x="9"/>
        <item x="4"/>
        <item x="10"/>
        <item x="12"/>
        <item x="13"/>
        <item x="14"/>
        <item x="3"/>
        <item x="8"/>
        <item x="6"/>
        <item x="7"/>
        <item x="0"/>
        <item t="default"/>
      </items>
    </pivotField>
    <pivotField showAll="0">
      <items count="45">
        <item x="14"/>
        <item x="33"/>
        <item x="15"/>
        <item x="12"/>
        <item x="23"/>
        <item x="32"/>
        <item x="34"/>
        <item x="35"/>
        <item x="37"/>
        <item x="39"/>
        <item x="41"/>
        <item x="42"/>
        <item x="43"/>
        <item x="31"/>
        <item x="19"/>
        <item x="0"/>
        <item x="13"/>
        <item x="36"/>
        <item x="21"/>
        <item x="5"/>
        <item x="18"/>
        <item x="20"/>
        <item x="22"/>
        <item x="29"/>
        <item x="27"/>
        <item x="3"/>
        <item x="40"/>
        <item x="16"/>
        <item x="6"/>
        <item x="7"/>
        <item x="2"/>
        <item x="30"/>
        <item x="10"/>
        <item x="26"/>
        <item x="4"/>
        <item x="8"/>
        <item x="38"/>
        <item x="1"/>
        <item x="25"/>
        <item x="28"/>
        <item x="11"/>
        <item x="17"/>
        <item x="24"/>
        <item x="9"/>
        <item t="default"/>
      </items>
    </pivotField>
    <pivotField dataField="1" numFmtId="164" showAll="0"/>
  </pivotFields>
  <rowFields count="1">
    <field x="3"/>
  </rowFields>
  <rowItems count="9">
    <i>
      <x v="1"/>
    </i>
    <i>
      <x v="3"/>
    </i>
    <i>
      <x v="5"/>
    </i>
    <i>
      <x v="7"/>
    </i>
    <i>
      <x v="8"/>
    </i>
    <i>
      <x v="9"/>
    </i>
    <i>
      <x v="10"/>
    </i>
    <i>
      <x v="12"/>
    </i>
    <i t="grand">
      <x/>
    </i>
  </rowItems>
  <colItems count="1">
    <i/>
  </colItems>
  <pageFields count="1">
    <pageField fld="2" item="1" hier="-1"/>
  </pageFields>
  <dataFields count="1">
    <dataField name="Sum of Amount" fld="5"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ACEC226-BDEB-42D6-B8F1-C3018640AAE4}"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E12" firstHeaderRow="1" firstDataRow="1" firstDataCol="1" rowPageCount="1" colPageCount="1"/>
  <pivotFields count="6">
    <pivotField showAll="0"/>
    <pivotField showAll="0">
      <items count="13">
        <item x="0"/>
        <item x="1"/>
        <item x="2"/>
        <item x="3"/>
        <item x="4"/>
        <item x="5"/>
        <item x="6"/>
        <item x="7"/>
        <item x="8"/>
        <item x="9"/>
        <item x="10"/>
        <item x="11"/>
        <item t="default"/>
      </items>
    </pivotField>
    <pivotField axis="axisPage" showAll="0">
      <items count="3">
        <item x="0"/>
        <item x="1"/>
        <item t="default"/>
      </items>
    </pivotField>
    <pivotField axis="axisRow" showAll="0">
      <items count="17">
        <item x="5"/>
        <item x="11"/>
        <item x="1"/>
        <item x="15"/>
        <item x="2"/>
        <item x="9"/>
        <item x="4"/>
        <item x="10"/>
        <item x="12"/>
        <item x="13"/>
        <item x="14"/>
        <item x="3"/>
        <item x="8"/>
        <item x="6"/>
        <item x="7"/>
        <item x="0"/>
        <item t="default"/>
      </items>
    </pivotField>
    <pivotField showAll="0">
      <items count="45">
        <item x="14"/>
        <item x="33"/>
        <item x="15"/>
        <item x="12"/>
        <item x="23"/>
        <item x="32"/>
        <item x="34"/>
        <item x="35"/>
        <item x="37"/>
        <item x="39"/>
        <item x="41"/>
        <item x="42"/>
        <item x="43"/>
        <item x="31"/>
        <item x="19"/>
        <item x="0"/>
        <item x="13"/>
        <item x="36"/>
        <item x="21"/>
        <item x="5"/>
        <item x="18"/>
        <item x="20"/>
        <item x="22"/>
        <item x="29"/>
        <item x="27"/>
        <item x="3"/>
        <item x="40"/>
        <item x="16"/>
        <item x="6"/>
        <item x="7"/>
        <item x="2"/>
        <item x="30"/>
        <item x="10"/>
        <item x="26"/>
        <item x="4"/>
        <item x="8"/>
        <item x="38"/>
        <item x="1"/>
        <item x="25"/>
        <item x="28"/>
        <item x="11"/>
        <item x="17"/>
        <item x="24"/>
        <item x="9"/>
        <item t="default"/>
      </items>
    </pivotField>
    <pivotField dataField="1" numFmtId="164" showAll="0"/>
  </pivotFields>
  <rowFields count="1">
    <field x="3"/>
  </rowFields>
  <rowItems count="9">
    <i>
      <x/>
    </i>
    <i>
      <x v="2"/>
    </i>
    <i>
      <x v="4"/>
    </i>
    <i>
      <x v="6"/>
    </i>
    <i>
      <x v="11"/>
    </i>
    <i>
      <x v="13"/>
    </i>
    <i>
      <x v="14"/>
    </i>
    <i>
      <x v="15"/>
    </i>
    <i t="grand">
      <x/>
    </i>
  </rowItems>
  <colItems count="1">
    <i/>
  </colItems>
  <pageFields count="1">
    <pageField fld="2" item="0" hier="-1"/>
  </pageFields>
  <dataFields count="1">
    <dataField name="Sum of Amount" fld="5"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6D1E7B48-6583-4C2A-8055-88381D936075}" sourceName="Month">
  <pivotTables>
    <pivotTable tabId="2" name="PivotTable2"/>
    <pivotTable tabId="2" name="PivotTable1"/>
  </pivotTables>
  <data>
    <tabular pivotCacheId="526398472">
      <items count="12">
        <i x="0" s="1"/>
        <i x="1" s="1"/>
        <i x="2" s="1"/>
        <i x="3" s="1"/>
        <i x="4" s="1"/>
        <i x="5" s="1"/>
        <i x="6" s="1"/>
        <i x="7" s="1"/>
        <i x="8" s="1"/>
        <i x="9" s="1"/>
        <i x="10" s="1"/>
        <i x="1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67A36C2E-A0C4-46AA-B4FA-38DDA778A7A9}" cache="Slicer_Month" caption="Month"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9BBBCB8-1211-43E6-93C7-EE90A322ACB4}" name="Table1" displayName="Table1" ref="A1:F501" totalsRowShown="0" headerRowDxfId="7" dataDxfId="6">
  <autoFilter ref="A1:F501" xr:uid="{29BBBCB8-1211-43E6-93C7-EE90A322ACB4}"/>
  <tableColumns count="6">
    <tableColumn id="1" xr3:uid="{187C4F87-E2CA-45DA-8F35-7893A41D02A8}" name="Date" dataDxfId="5"/>
    <tableColumn id="2" xr3:uid="{15C24F78-6B95-413B-911B-8CBD302F97A7}" name="Month" dataDxfId="4"/>
    <tableColumn id="3" xr3:uid="{9F6C64BB-AD1A-421D-8C9D-74636E3AD649}" name="Category" dataDxfId="3"/>
    <tableColumn id="4" xr3:uid="{012E13C0-08B8-4A88-9731-A870940F3182}" name="Expenses Category" dataDxfId="2"/>
    <tableColumn id="5" xr3:uid="{B0BB7AC4-1D0B-4FED-991A-E246E8006D45}" name="Description" dataDxfId="1"/>
    <tableColumn id="6" xr3:uid="{62CAB30A-2E5C-42D7-9339-D982CC7FA820}" name="Amount" dataDxfId="0"/>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C48D59-0246-4B37-AF20-9415B25A9A32}">
  <dimension ref="A1:I19"/>
  <sheetViews>
    <sheetView topLeftCell="C1" workbookViewId="0">
      <selection activeCell="I19" sqref="I19"/>
    </sheetView>
  </sheetViews>
  <sheetFormatPr defaultRowHeight="14.4" x14ac:dyDescent="0.3"/>
  <cols>
    <col min="1" max="1" width="12.44140625" bestFit="1" customWidth="1"/>
    <col min="2" max="2" width="13.5546875" bestFit="1" customWidth="1"/>
    <col min="4" max="4" width="12.44140625" bestFit="1" customWidth="1"/>
    <col min="5" max="5" width="13.5546875" bestFit="1" customWidth="1"/>
    <col min="7" max="7" width="8.5546875" bestFit="1" customWidth="1"/>
    <col min="8" max="8" width="5.5546875" bestFit="1" customWidth="1"/>
    <col min="9" max="9" width="7.6640625" customWidth="1"/>
  </cols>
  <sheetData>
    <row r="1" spans="1:9" x14ac:dyDescent="0.3">
      <c r="A1" s="5" t="s">
        <v>2</v>
      </c>
      <c r="B1" t="s">
        <v>136</v>
      </c>
      <c r="D1" s="5" t="s">
        <v>2</v>
      </c>
      <c r="E1" t="s">
        <v>7</v>
      </c>
    </row>
    <row r="3" spans="1:9" x14ac:dyDescent="0.3">
      <c r="A3" s="5" t="s">
        <v>412</v>
      </c>
      <c r="B3" t="s">
        <v>414</v>
      </c>
      <c r="D3" s="5" t="s">
        <v>412</v>
      </c>
      <c r="E3" t="s">
        <v>414</v>
      </c>
      <c r="G3" s="17" t="str">
        <f>IF(G4&gt;1,"Profit","Loss")</f>
        <v>Profit</v>
      </c>
      <c r="H3" s="18">
        <f>IF(G3="PROFIT",100%,"")</f>
        <v>1</v>
      </c>
      <c r="I3" s="19" t="str">
        <f>IF(G3="LOSS",100%,"")</f>
        <v/>
      </c>
    </row>
    <row r="4" spans="1:9" x14ac:dyDescent="0.3">
      <c r="A4" s="6" t="s">
        <v>144</v>
      </c>
      <c r="B4" s="7">
        <v>92260</v>
      </c>
      <c r="D4" s="6" t="s">
        <v>18</v>
      </c>
      <c r="E4" s="7">
        <v>190555.48499999999</v>
      </c>
      <c r="G4" s="16">
        <f>GETPIVOTDATA("Amount",$A$3)-GETPIVOTDATA("Amount",$D$3)</f>
        <v>233300.85531249992</v>
      </c>
    </row>
    <row r="5" spans="1:9" x14ac:dyDescent="0.3">
      <c r="A5" s="6" t="s">
        <v>155</v>
      </c>
      <c r="B5" s="7">
        <v>28021</v>
      </c>
      <c r="D5" s="6" t="s">
        <v>10</v>
      </c>
      <c r="E5" s="7">
        <v>121069.97125</v>
      </c>
    </row>
    <row r="6" spans="1:9" x14ac:dyDescent="0.3">
      <c r="A6" s="6" t="s">
        <v>139</v>
      </c>
      <c r="B6" s="7">
        <v>635552</v>
      </c>
      <c r="D6" s="6" t="s">
        <v>12</v>
      </c>
      <c r="E6" s="7">
        <v>119851.95056249999</v>
      </c>
    </row>
    <row r="7" spans="1:9" x14ac:dyDescent="0.3">
      <c r="A7" s="6" t="s">
        <v>141</v>
      </c>
      <c r="B7" s="7">
        <v>46041</v>
      </c>
      <c r="D7" s="6" t="s">
        <v>16</v>
      </c>
      <c r="E7" s="7">
        <v>67604.401000000013</v>
      </c>
    </row>
    <row r="8" spans="1:9" x14ac:dyDescent="0.3">
      <c r="A8" s="6" t="s">
        <v>146</v>
      </c>
      <c r="B8" s="7">
        <v>36291</v>
      </c>
      <c r="D8" s="6" t="s">
        <v>14</v>
      </c>
      <c r="E8" s="7">
        <v>348000.11249999999</v>
      </c>
    </row>
    <row r="9" spans="1:9" x14ac:dyDescent="0.3">
      <c r="A9" s="6" t="s">
        <v>149</v>
      </c>
      <c r="B9" s="7">
        <v>44960</v>
      </c>
      <c r="D9" s="6" t="s">
        <v>22</v>
      </c>
      <c r="E9" s="7">
        <v>243721.87925</v>
      </c>
    </row>
    <row r="10" spans="1:9" x14ac:dyDescent="0.3">
      <c r="A10" s="6" t="s">
        <v>152</v>
      </c>
      <c r="B10" s="7">
        <v>50301</v>
      </c>
      <c r="D10" s="6" t="s">
        <v>34</v>
      </c>
      <c r="E10" s="7">
        <v>105642.85806250002</v>
      </c>
    </row>
    <row r="11" spans="1:9" x14ac:dyDescent="0.3">
      <c r="A11" s="6" t="s">
        <v>137</v>
      </c>
      <c r="B11" s="7">
        <v>614400</v>
      </c>
      <c r="D11" s="6" t="s">
        <v>8</v>
      </c>
      <c r="E11" s="7">
        <v>118078.4870625</v>
      </c>
    </row>
    <row r="12" spans="1:9" x14ac:dyDescent="0.3">
      <c r="A12" s="6" t="s">
        <v>413</v>
      </c>
      <c r="B12" s="7">
        <v>1547826</v>
      </c>
      <c r="D12" s="6" t="s">
        <v>413</v>
      </c>
      <c r="E12" s="7">
        <v>1314525.1446875001</v>
      </c>
    </row>
    <row r="19" spans="8:8" x14ac:dyDescent="0.3">
      <c r="H19" t="s">
        <v>420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734372-F8BF-4D1B-9F59-39AB808470C1}">
  <dimension ref="A1:S26"/>
  <sheetViews>
    <sheetView showGridLines="0" tabSelected="1" zoomScale="115" zoomScaleNormal="115" workbookViewId="0">
      <selection activeCell="U10" sqref="U10"/>
    </sheetView>
  </sheetViews>
  <sheetFormatPr defaultRowHeight="14.4" x14ac:dyDescent="0.3"/>
  <cols>
    <col min="1" max="1" width="17.109375" customWidth="1"/>
    <col min="2" max="2" width="10.5546875" bestFit="1" customWidth="1"/>
    <col min="3" max="3" width="8.33203125" style="25" bestFit="1" customWidth="1"/>
    <col min="7" max="7" width="9.109375" customWidth="1"/>
    <col min="19" max="19" width="8.88671875" customWidth="1"/>
  </cols>
  <sheetData>
    <row r="1" spans="1:19" x14ac:dyDescent="0.3">
      <c r="A1" s="11"/>
      <c r="B1" s="11"/>
      <c r="C1" s="20"/>
      <c r="D1" s="11"/>
      <c r="E1" s="11"/>
      <c r="F1" s="11"/>
      <c r="G1" s="11"/>
      <c r="H1" s="11"/>
      <c r="I1" s="11"/>
      <c r="J1" s="11"/>
      <c r="K1" s="11"/>
      <c r="L1" s="11"/>
      <c r="M1" s="11"/>
      <c r="N1" s="11"/>
      <c r="O1" s="11"/>
      <c r="P1" s="11"/>
      <c r="Q1" s="11"/>
      <c r="R1" s="11"/>
      <c r="S1" s="12"/>
    </row>
    <row r="2" spans="1:19" x14ac:dyDescent="0.3">
      <c r="A2" s="11"/>
      <c r="B2" s="11"/>
      <c r="C2" s="20"/>
      <c r="D2" s="11"/>
      <c r="E2" s="11"/>
      <c r="F2" s="11"/>
      <c r="G2" s="11"/>
      <c r="H2" s="11"/>
      <c r="I2" s="11"/>
      <c r="J2" s="11"/>
      <c r="K2" s="11"/>
      <c r="L2" s="11"/>
      <c r="M2" s="11"/>
      <c r="N2" s="11"/>
      <c r="O2" s="11"/>
      <c r="P2" s="11"/>
      <c r="Q2" s="11"/>
      <c r="R2" s="11"/>
      <c r="S2" s="12"/>
    </row>
    <row r="3" spans="1:19" x14ac:dyDescent="0.3">
      <c r="A3" s="11"/>
      <c r="B3" s="11"/>
      <c r="C3" s="20"/>
      <c r="D3" s="11"/>
      <c r="E3" s="11"/>
      <c r="F3" s="11"/>
      <c r="G3" s="11"/>
      <c r="H3" s="11"/>
      <c r="I3" s="11"/>
      <c r="J3" s="11"/>
      <c r="K3" s="11"/>
      <c r="L3" s="11"/>
      <c r="M3" s="11"/>
      <c r="N3" s="11"/>
      <c r="O3" s="11"/>
      <c r="P3" s="11"/>
      <c r="Q3" s="11"/>
      <c r="R3" s="11"/>
      <c r="S3" s="12"/>
    </row>
    <row r="4" spans="1:19" ht="18" customHeight="1" x14ac:dyDescent="0.3">
      <c r="A4" s="11"/>
      <c r="B4" s="8" t="s">
        <v>416</v>
      </c>
      <c r="C4" s="21" t="s">
        <v>417</v>
      </c>
      <c r="D4" s="11"/>
      <c r="E4" s="11"/>
      <c r="F4" s="11"/>
      <c r="G4" s="11"/>
      <c r="H4" s="11"/>
      <c r="I4" s="11"/>
      <c r="J4" s="11"/>
      <c r="K4" s="11"/>
      <c r="L4" s="11"/>
      <c r="M4" s="11"/>
      <c r="N4" s="11"/>
      <c r="O4" s="11"/>
      <c r="P4" s="11"/>
      <c r="Q4" s="11"/>
      <c r="R4" s="11"/>
      <c r="S4" s="12"/>
    </row>
    <row r="5" spans="1:19" ht="18" customHeight="1" x14ac:dyDescent="0.3">
      <c r="A5" s="11"/>
      <c r="B5" s="9" t="s">
        <v>137</v>
      </c>
      <c r="C5" s="22">
        <f>GETPIVOTDATA("Amount",Pivot!$A$3,"Expenses Category","Salary")</f>
        <v>614400</v>
      </c>
      <c r="D5" s="11"/>
      <c r="E5" s="11"/>
      <c r="F5" s="11"/>
      <c r="G5" s="11"/>
      <c r="H5" s="11"/>
      <c r="I5" s="11"/>
      <c r="J5" s="11"/>
      <c r="K5" s="11"/>
      <c r="L5" s="11"/>
      <c r="M5" s="11"/>
      <c r="N5" s="11"/>
      <c r="O5" s="11"/>
      <c r="P5" s="11"/>
      <c r="Q5" s="11"/>
      <c r="R5" s="11"/>
      <c r="S5" s="12"/>
    </row>
    <row r="6" spans="1:19" ht="18" customHeight="1" x14ac:dyDescent="0.3">
      <c r="A6" s="11"/>
      <c r="B6" s="9" t="s">
        <v>415</v>
      </c>
      <c r="C6" s="22">
        <f>GETPIVOTDATA("Amount",Pivot!$A$3,"Expenses Category","Freelance")</f>
        <v>635552</v>
      </c>
      <c r="D6" s="11"/>
      <c r="E6" s="11"/>
      <c r="F6" s="11"/>
      <c r="G6" s="11"/>
      <c r="H6" s="11"/>
      <c r="I6" s="11"/>
      <c r="J6" s="11"/>
      <c r="K6" s="11"/>
      <c r="L6" s="11"/>
      <c r="M6" s="11"/>
      <c r="N6" s="11"/>
      <c r="O6" s="11"/>
      <c r="P6" s="11"/>
      <c r="Q6" s="11"/>
      <c r="R6" s="11"/>
      <c r="S6" s="12"/>
    </row>
    <row r="7" spans="1:19" ht="18" customHeight="1" x14ac:dyDescent="0.3">
      <c r="A7" s="11"/>
      <c r="B7" s="9" t="s">
        <v>141</v>
      </c>
      <c r="C7" s="22">
        <f>GETPIVOTDATA("Amount",Pivot!$A$3,"Expenses Category","Interest")</f>
        <v>46041</v>
      </c>
      <c r="D7" s="11"/>
      <c r="E7" s="11"/>
      <c r="F7" s="11"/>
      <c r="G7" s="11"/>
      <c r="H7" s="11"/>
      <c r="I7" s="11"/>
      <c r="J7" s="11"/>
      <c r="K7" s="11"/>
      <c r="L7" s="11"/>
      <c r="M7" s="11"/>
      <c r="N7" s="11"/>
      <c r="O7" s="11"/>
      <c r="P7" s="11"/>
      <c r="Q7" s="11"/>
      <c r="R7" s="11"/>
      <c r="S7" s="12"/>
    </row>
    <row r="8" spans="1:19" ht="18" customHeight="1" x14ac:dyDescent="0.3">
      <c r="A8" s="11"/>
      <c r="B8" s="9" t="s">
        <v>144</v>
      </c>
      <c r="C8" s="22">
        <f>GETPIVOTDATA("Amount",Pivot!$A$3,"Expenses Category","Bonus")</f>
        <v>92260</v>
      </c>
      <c r="D8" s="11"/>
      <c r="E8" s="11"/>
      <c r="F8" s="11"/>
      <c r="G8" s="11"/>
      <c r="H8" s="11"/>
      <c r="I8" s="11"/>
      <c r="J8" s="11"/>
      <c r="K8" s="11"/>
      <c r="L8" s="11"/>
      <c r="M8" s="11"/>
      <c r="N8" s="11"/>
      <c r="O8" s="11"/>
      <c r="P8" s="11"/>
      <c r="Q8" s="11"/>
      <c r="R8" s="11"/>
      <c r="S8" s="12"/>
    </row>
    <row r="9" spans="1:19" ht="18" customHeight="1" x14ac:dyDescent="0.3">
      <c r="A9" s="11"/>
      <c r="B9" s="9" t="s">
        <v>146</v>
      </c>
      <c r="C9" s="22">
        <f>GETPIVOTDATA("Amount",Pivot!$A$3,"Expenses Category","Investment")</f>
        <v>36291</v>
      </c>
      <c r="D9" s="11"/>
      <c r="E9" s="11"/>
      <c r="F9" s="11"/>
      <c r="G9" s="11"/>
      <c r="H9" s="11"/>
      <c r="I9" s="11"/>
      <c r="J9" s="11"/>
      <c r="K9" s="11"/>
      <c r="L9" s="11"/>
      <c r="M9" s="11"/>
      <c r="N9" s="11"/>
      <c r="O9" s="11"/>
      <c r="P9" s="11"/>
      <c r="Q9" s="11"/>
      <c r="R9" s="11"/>
      <c r="S9" s="12"/>
    </row>
    <row r="10" spans="1:19" ht="18" customHeight="1" x14ac:dyDescent="0.3">
      <c r="A10" s="11"/>
      <c r="B10" s="9" t="s">
        <v>149</v>
      </c>
      <c r="C10" s="22">
        <f>GETPIVOTDATA("Amount",Pivot!$A$3,"Expenses Category","Overtime")</f>
        <v>44960</v>
      </c>
      <c r="D10" s="11"/>
      <c r="E10" s="11"/>
      <c r="F10" s="11"/>
      <c r="G10" s="11"/>
      <c r="H10" s="11"/>
      <c r="I10" s="11"/>
      <c r="J10" s="11"/>
      <c r="K10" s="11"/>
      <c r="L10" s="11"/>
      <c r="M10" s="11"/>
      <c r="N10" s="11"/>
      <c r="O10" s="11"/>
      <c r="P10" s="11"/>
      <c r="Q10" s="11"/>
      <c r="R10" s="11"/>
      <c r="S10" s="12"/>
    </row>
    <row r="11" spans="1:19" ht="18" customHeight="1" x14ac:dyDescent="0.3">
      <c r="A11" s="11"/>
      <c r="B11" s="9" t="s">
        <v>152</v>
      </c>
      <c r="C11" s="22">
        <f>GETPIVOTDATA("Amount",Pivot!$A$3,"Expenses Category","Profit")</f>
        <v>50301</v>
      </c>
      <c r="D11" s="11"/>
      <c r="E11" s="11"/>
      <c r="F11" s="11"/>
      <c r="G11" s="11"/>
      <c r="H11" s="11"/>
      <c r="I11" s="11"/>
      <c r="J11" s="11"/>
      <c r="K11" s="11"/>
      <c r="L11" s="11"/>
      <c r="M11" s="11"/>
      <c r="N11" s="11"/>
      <c r="O11" s="11"/>
      <c r="P11" s="11"/>
      <c r="Q11" s="11"/>
      <c r="R11" s="11"/>
      <c r="S11" s="12"/>
    </row>
    <row r="12" spans="1:19" ht="18" customHeight="1" x14ac:dyDescent="0.3">
      <c r="A12" s="11"/>
      <c r="B12" s="9" t="s">
        <v>155</v>
      </c>
      <c r="C12" s="22">
        <f>GETPIVOTDATA("Amount",Pivot!$A$3,"Expenses Category","Dividend")</f>
        <v>28021</v>
      </c>
      <c r="D12" s="11"/>
      <c r="E12" s="11"/>
      <c r="F12" s="11"/>
      <c r="G12" s="11"/>
      <c r="H12" s="11"/>
      <c r="I12" s="11"/>
      <c r="J12" s="11"/>
      <c r="K12" s="11"/>
      <c r="L12" s="11"/>
      <c r="M12" s="11"/>
      <c r="N12" s="11"/>
      <c r="O12" s="11"/>
      <c r="P12" s="11"/>
      <c r="Q12" s="11"/>
      <c r="R12" s="11"/>
      <c r="S12" s="12"/>
    </row>
    <row r="13" spans="1:19" x14ac:dyDescent="0.3">
      <c r="A13" s="11"/>
      <c r="B13" s="11"/>
      <c r="C13" s="20"/>
      <c r="D13" s="11"/>
      <c r="E13" s="11"/>
      <c r="F13" s="11"/>
      <c r="G13" s="11"/>
      <c r="H13" s="11"/>
      <c r="I13" s="11"/>
      <c r="J13" s="11"/>
      <c r="K13" s="11"/>
      <c r="L13" s="11"/>
      <c r="M13" s="11"/>
      <c r="N13" s="11"/>
      <c r="O13" s="11"/>
      <c r="P13" s="11"/>
      <c r="Q13" s="11"/>
      <c r="R13" s="11"/>
      <c r="S13" s="12"/>
    </row>
    <row r="14" spans="1:19" ht="13.8" customHeight="1" x14ac:dyDescent="0.3">
      <c r="A14" s="11"/>
      <c r="B14" s="11"/>
      <c r="C14" s="20"/>
      <c r="D14" s="11"/>
      <c r="E14" s="11"/>
      <c r="F14" s="11"/>
      <c r="G14" s="11"/>
      <c r="H14" s="11"/>
      <c r="I14" s="11"/>
      <c r="J14" s="11"/>
      <c r="K14" s="11"/>
      <c r="L14" s="11"/>
      <c r="M14" s="11"/>
      <c r="N14" s="11"/>
      <c r="O14" s="11"/>
      <c r="P14" s="11"/>
      <c r="Q14" s="11"/>
      <c r="R14" s="11"/>
      <c r="S14" s="12"/>
    </row>
    <row r="15" spans="1:19" x14ac:dyDescent="0.3">
      <c r="A15" s="11"/>
      <c r="B15" s="11"/>
      <c r="C15" s="20"/>
      <c r="D15" s="11"/>
      <c r="E15" s="11"/>
      <c r="F15" s="11"/>
      <c r="G15" s="11"/>
      <c r="H15" s="11"/>
      <c r="I15" s="11"/>
      <c r="J15" s="11"/>
      <c r="K15" s="11"/>
      <c r="L15" s="11"/>
      <c r="M15" s="11"/>
      <c r="N15" s="11"/>
      <c r="O15" s="11"/>
      <c r="P15" s="11"/>
      <c r="Q15" s="11"/>
      <c r="R15" s="11"/>
      <c r="S15" s="12"/>
    </row>
    <row r="16" spans="1:19" ht="4.2" customHeight="1" x14ac:dyDescent="0.3">
      <c r="A16" s="11"/>
      <c r="B16" s="11"/>
      <c r="C16" s="20"/>
      <c r="D16" s="11"/>
      <c r="E16" s="11"/>
      <c r="F16" s="11"/>
      <c r="G16" s="11"/>
      <c r="H16" s="11"/>
      <c r="I16" s="11"/>
      <c r="J16" s="11"/>
      <c r="K16" s="11"/>
      <c r="L16" s="11"/>
      <c r="M16" s="11"/>
      <c r="N16" s="11"/>
      <c r="O16" s="11"/>
      <c r="P16" s="11"/>
      <c r="Q16" s="11"/>
      <c r="R16" s="11"/>
      <c r="S16" s="12"/>
    </row>
    <row r="17" spans="1:19" ht="18" customHeight="1" x14ac:dyDescent="0.3">
      <c r="A17" s="11"/>
      <c r="B17" s="10" t="s">
        <v>418</v>
      </c>
      <c r="C17" s="23" t="s">
        <v>417</v>
      </c>
      <c r="D17" s="11"/>
      <c r="E17" s="11"/>
      <c r="F17" s="11"/>
      <c r="G17" s="11"/>
      <c r="H17" s="11"/>
      <c r="I17" s="11"/>
      <c r="J17" s="11"/>
      <c r="K17" s="11"/>
      <c r="L17" s="11"/>
      <c r="M17" s="11"/>
      <c r="N17" s="11"/>
      <c r="O17" s="11"/>
      <c r="P17" s="11"/>
      <c r="Q17" s="11"/>
      <c r="R17" s="11"/>
      <c r="S17" s="12"/>
    </row>
    <row r="18" spans="1:19" ht="18" customHeight="1" x14ac:dyDescent="0.3">
      <c r="A18" s="11"/>
      <c r="B18" s="9" t="s">
        <v>419</v>
      </c>
      <c r="C18" s="22">
        <f>GETPIVOTDATA("Amount",Pivot!$D$3,"Expenses Category","Health care")</f>
        <v>67604.401000000013</v>
      </c>
      <c r="D18" s="11"/>
      <c r="E18" s="11"/>
      <c r="F18" s="11"/>
      <c r="G18" s="11"/>
      <c r="H18" s="11"/>
      <c r="I18" s="11"/>
      <c r="J18" s="11"/>
      <c r="K18" s="11"/>
      <c r="L18" s="11"/>
      <c r="M18" s="11"/>
      <c r="N18" s="11"/>
      <c r="O18" s="11"/>
      <c r="P18" s="11"/>
      <c r="Q18" s="11"/>
      <c r="R18" s="11"/>
      <c r="S18" s="12"/>
    </row>
    <row r="19" spans="1:19" ht="18" customHeight="1" x14ac:dyDescent="0.3">
      <c r="A19" s="11"/>
      <c r="B19" s="9" t="s">
        <v>12</v>
      </c>
      <c r="C19" s="22">
        <f>GETPIVOTDATA("Amount",Pivot!$D$3,"Expenses Category","Education")</f>
        <v>119851.95056249999</v>
      </c>
      <c r="D19" s="11"/>
      <c r="E19" s="11"/>
      <c r="F19" s="11"/>
      <c r="G19" s="11"/>
      <c r="H19" s="11"/>
      <c r="I19" s="11"/>
      <c r="J19" s="11"/>
      <c r="K19" s="11"/>
      <c r="L19" s="11"/>
      <c r="M19" s="11"/>
      <c r="N19" s="11"/>
      <c r="O19" s="11"/>
      <c r="P19" s="11"/>
      <c r="Q19" s="11"/>
      <c r="R19" s="11"/>
      <c r="S19" s="12"/>
    </row>
    <row r="20" spans="1:19" ht="18" customHeight="1" x14ac:dyDescent="0.3">
      <c r="A20" s="11"/>
      <c r="B20" s="9" t="s">
        <v>8</v>
      </c>
      <c r="C20" s="22">
        <f>GETPIVOTDATA("Amount",Pivot!$D$3,"Expenses Category","Travel")</f>
        <v>118078.4870625</v>
      </c>
      <c r="D20" s="11"/>
      <c r="E20" s="11"/>
      <c r="F20" s="11"/>
      <c r="G20" s="11"/>
      <c r="H20" s="11"/>
      <c r="I20" s="11"/>
      <c r="J20" s="11"/>
      <c r="K20" s="11"/>
      <c r="L20" s="11"/>
      <c r="M20" s="11"/>
      <c r="N20" s="11"/>
      <c r="O20" s="11"/>
      <c r="P20" s="11"/>
      <c r="Q20" s="11"/>
      <c r="R20" s="11"/>
      <c r="S20" s="12"/>
    </row>
    <row r="21" spans="1:19" ht="18" customHeight="1" x14ac:dyDescent="0.3">
      <c r="A21" s="11"/>
      <c r="B21" s="9" t="s">
        <v>22</v>
      </c>
      <c r="C21" s="22">
        <f>GETPIVOTDATA("Amount",Pivot!$D$3,"Expenses Category","Shopping")</f>
        <v>243721.87925</v>
      </c>
      <c r="D21" s="11"/>
      <c r="E21" s="11"/>
      <c r="F21" s="11"/>
      <c r="G21" s="11"/>
      <c r="H21" s="11"/>
      <c r="I21" s="11"/>
      <c r="J21" s="11"/>
      <c r="K21" s="11"/>
      <c r="L21" s="11"/>
      <c r="M21" s="11"/>
      <c r="N21" s="11"/>
      <c r="O21" s="11"/>
      <c r="P21" s="11"/>
      <c r="Q21" s="11"/>
      <c r="R21" s="11"/>
      <c r="S21" s="12"/>
    </row>
    <row r="22" spans="1:19" ht="18" customHeight="1" x14ac:dyDescent="0.3">
      <c r="A22" s="11"/>
      <c r="B22" s="9" t="s">
        <v>10</v>
      </c>
      <c r="C22" s="22">
        <f>GETPIVOTDATA("Amount",Pivot!$D$3,"Expenses Category","Dining")</f>
        <v>121069.97125</v>
      </c>
      <c r="D22" s="11"/>
      <c r="E22" s="11"/>
      <c r="F22" s="11"/>
      <c r="G22" s="11"/>
      <c r="H22" s="11"/>
      <c r="I22" s="11"/>
      <c r="J22" s="11"/>
      <c r="K22" s="11"/>
      <c r="L22" s="11"/>
      <c r="M22" s="11"/>
      <c r="N22" s="11"/>
      <c r="O22" s="11"/>
      <c r="P22" s="11"/>
      <c r="Q22" s="11"/>
      <c r="R22" s="11"/>
      <c r="S22" s="12"/>
    </row>
    <row r="23" spans="1:19" ht="18" customHeight="1" x14ac:dyDescent="0.3">
      <c r="A23" s="11"/>
      <c r="B23" s="9" t="s">
        <v>14</v>
      </c>
      <c r="C23" s="22">
        <f>GETPIVOTDATA("Amount",Pivot!$D$3,"Expenses Category","Rent")</f>
        <v>348000.11249999999</v>
      </c>
      <c r="D23" s="11"/>
      <c r="E23" s="11"/>
      <c r="F23" s="11"/>
      <c r="G23" s="11"/>
      <c r="H23" s="11"/>
      <c r="I23" s="11"/>
      <c r="J23" s="11"/>
      <c r="K23" s="11"/>
      <c r="L23" s="11"/>
      <c r="M23" s="11"/>
      <c r="N23" s="11"/>
      <c r="O23" s="11"/>
      <c r="P23" s="11"/>
      <c r="Q23" s="11"/>
      <c r="R23" s="11"/>
      <c r="S23" s="12"/>
    </row>
    <row r="24" spans="1:19" ht="18" customHeight="1" x14ac:dyDescent="0.3">
      <c r="A24" s="11"/>
      <c r="B24" s="9" t="s">
        <v>18</v>
      </c>
      <c r="C24" s="22">
        <f>GETPIVOTDATA("Amount",Pivot!$D$3,"Expenses Category","Bills")</f>
        <v>190555.48499999999</v>
      </c>
      <c r="D24" s="11"/>
      <c r="E24" s="11"/>
      <c r="F24" s="11"/>
      <c r="G24" s="11"/>
      <c r="H24" s="11"/>
      <c r="I24" s="11"/>
      <c r="J24" s="11"/>
      <c r="K24" s="11"/>
      <c r="L24" s="11"/>
      <c r="M24" s="11"/>
      <c r="N24" s="11"/>
      <c r="O24" s="11"/>
      <c r="P24" s="11"/>
      <c r="Q24" s="11"/>
      <c r="R24" s="11"/>
      <c r="S24" s="12"/>
    </row>
    <row r="25" spans="1:19" ht="18" customHeight="1" thickBot="1" x14ac:dyDescent="0.35">
      <c r="A25" s="13"/>
      <c r="B25" s="14" t="s">
        <v>34</v>
      </c>
      <c r="C25" s="24">
        <f>GETPIVOTDATA("Amount",Pivot!$D$3,"Expenses Category","Transport")</f>
        <v>105642.85806250002</v>
      </c>
      <c r="D25" s="13"/>
      <c r="E25" s="13"/>
      <c r="F25" s="13"/>
      <c r="G25" s="13"/>
      <c r="H25" s="13"/>
      <c r="I25" s="13"/>
      <c r="J25" s="13"/>
      <c r="K25" s="13"/>
      <c r="L25" s="13"/>
      <c r="M25" s="13"/>
      <c r="N25" s="13"/>
      <c r="O25" s="13"/>
      <c r="P25" s="13"/>
      <c r="Q25" s="13"/>
      <c r="R25" s="13"/>
      <c r="S25" s="15"/>
    </row>
    <row r="26" spans="1:19" ht="15" thickTop="1"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7A0FD6-7890-4D3F-B590-4C98E969ECC6}">
  <dimension ref="A1:F501"/>
  <sheetViews>
    <sheetView topLeftCell="A2" workbookViewId="0">
      <selection activeCell="C3" sqref="C3"/>
    </sheetView>
  </sheetViews>
  <sheetFormatPr defaultRowHeight="14.4" x14ac:dyDescent="0.3"/>
  <cols>
    <col min="1" max="1" width="10.109375" bestFit="1" customWidth="1"/>
    <col min="2" max="2" width="10.44140625" bestFit="1" customWidth="1"/>
    <col min="3" max="3" width="12.6640625" bestFit="1" customWidth="1"/>
    <col min="4" max="4" width="21.109375" bestFit="1" customWidth="1"/>
    <col min="5" max="5" width="24.6640625" bestFit="1" customWidth="1"/>
    <col min="6" max="6" width="11.6640625" bestFit="1" customWidth="1"/>
  </cols>
  <sheetData>
    <row r="1" spans="1:6" x14ac:dyDescent="0.3">
      <c r="A1" s="1" t="s">
        <v>0</v>
      </c>
      <c r="B1" s="1" t="s">
        <v>1</v>
      </c>
      <c r="C1" s="1" t="s">
        <v>2</v>
      </c>
      <c r="D1" s="1" t="s">
        <v>3</v>
      </c>
      <c r="E1" s="1" t="s">
        <v>4</v>
      </c>
      <c r="F1" s="1" t="s">
        <v>5</v>
      </c>
    </row>
    <row r="2" spans="1:6" x14ac:dyDescent="0.3">
      <c r="A2" s="2">
        <v>46023</v>
      </c>
      <c r="B2" s="3" t="s">
        <v>6</v>
      </c>
      <c r="C2" s="3" t="s">
        <v>7</v>
      </c>
      <c r="D2" s="3" t="s">
        <v>8</v>
      </c>
      <c r="E2" s="3" t="s">
        <v>9</v>
      </c>
      <c r="F2" s="4">
        <v>11544.012500000001</v>
      </c>
    </row>
    <row r="3" spans="1:6" x14ac:dyDescent="0.3">
      <c r="A3" s="2">
        <v>46024</v>
      </c>
      <c r="B3" s="3" t="s">
        <v>6</v>
      </c>
      <c r="C3" s="3" t="s">
        <v>7</v>
      </c>
      <c r="D3" s="3" t="s">
        <v>10</v>
      </c>
      <c r="E3" s="3" t="s">
        <v>11</v>
      </c>
      <c r="F3" s="4">
        <v>3425.9650000000001</v>
      </c>
    </row>
    <row r="4" spans="1:6" x14ac:dyDescent="0.3">
      <c r="A4" s="2">
        <v>46026</v>
      </c>
      <c r="B4" s="3" t="s">
        <v>6</v>
      </c>
      <c r="C4" s="3" t="s">
        <v>7</v>
      </c>
      <c r="D4" s="3" t="s">
        <v>12</v>
      </c>
      <c r="E4" s="3" t="s">
        <v>13</v>
      </c>
      <c r="F4" s="4">
        <v>8378.71875</v>
      </c>
    </row>
    <row r="5" spans="1:6" x14ac:dyDescent="0.3">
      <c r="A5" s="2">
        <v>46027</v>
      </c>
      <c r="B5" s="3" t="s">
        <v>6</v>
      </c>
      <c r="C5" s="3" t="s">
        <v>7</v>
      </c>
      <c r="D5" s="3" t="s">
        <v>14</v>
      </c>
      <c r="E5" s="3" t="s">
        <v>15</v>
      </c>
      <c r="F5" s="4">
        <v>5167.3125</v>
      </c>
    </row>
    <row r="6" spans="1:6" x14ac:dyDescent="0.3">
      <c r="A6" s="2">
        <v>46028</v>
      </c>
      <c r="B6" s="3" t="s">
        <v>6</v>
      </c>
      <c r="C6" s="3" t="s">
        <v>7</v>
      </c>
      <c r="D6" s="3" t="s">
        <v>16</v>
      </c>
      <c r="E6" s="3" t="s">
        <v>17</v>
      </c>
      <c r="F6" s="4">
        <v>7075</v>
      </c>
    </row>
    <row r="7" spans="1:6" x14ac:dyDescent="0.3">
      <c r="A7" s="2">
        <v>46030</v>
      </c>
      <c r="B7" s="3" t="s">
        <v>6</v>
      </c>
      <c r="C7" s="3" t="s">
        <v>7</v>
      </c>
      <c r="D7" s="3" t="s">
        <v>18</v>
      </c>
      <c r="E7" s="3" t="s">
        <v>19</v>
      </c>
      <c r="F7" s="4">
        <v>1675.7437500000001</v>
      </c>
    </row>
    <row r="8" spans="1:6" x14ac:dyDescent="0.3">
      <c r="A8" s="2">
        <v>46034</v>
      </c>
      <c r="B8" s="3" t="s">
        <v>6</v>
      </c>
      <c r="C8" s="3" t="s">
        <v>7</v>
      </c>
      <c r="D8" s="3" t="s">
        <v>12</v>
      </c>
      <c r="E8" s="3" t="s">
        <v>20</v>
      </c>
      <c r="F8" s="4">
        <v>8006.3312500000002</v>
      </c>
    </row>
    <row r="9" spans="1:6" x14ac:dyDescent="0.3">
      <c r="A9" s="2">
        <v>46035</v>
      </c>
      <c r="B9" s="3" t="s">
        <v>6</v>
      </c>
      <c r="C9" s="3" t="s">
        <v>7</v>
      </c>
      <c r="D9" s="3" t="s">
        <v>12</v>
      </c>
      <c r="E9" s="3" t="s">
        <v>21</v>
      </c>
      <c r="F9" s="4">
        <v>651.67812500000002</v>
      </c>
    </row>
    <row r="10" spans="1:6" x14ac:dyDescent="0.3">
      <c r="A10" s="2">
        <v>46036</v>
      </c>
      <c r="B10" s="3" t="s">
        <v>6</v>
      </c>
      <c r="C10" s="3" t="s">
        <v>7</v>
      </c>
      <c r="D10" s="3" t="s">
        <v>22</v>
      </c>
      <c r="E10" s="3" t="s">
        <v>23</v>
      </c>
      <c r="F10" s="4">
        <v>2420.5187500000002</v>
      </c>
    </row>
    <row r="11" spans="1:6" x14ac:dyDescent="0.3">
      <c r="A11" s="2">
        <v>46037</v>
      </c>
      <c r="B11" s="3" t="s">
        <v>6</v>
      </c>
      <c r="C11" s="3" t="s">
        <v>7</v>
      </c>
      <c r="D11" s="3" t="s">
        <v>18</v>
      </c>
      <c r="E11" s="3" t="s">
        <v>24</v>
      </c>
      <c r="F11" s="4">
        <v>16012.6625</v>
      </c>
    </row>
    <row r="12" spans="1:6" x14ac:dyDescent="0.3">
      <c r="A12" s="2">
        <v>46038</v>
      </c>
      <c r="B12" s="3" t="s">
        <v>6</v>
      </c>
      <c r="C12" s="3" t="s">
        <v>7</v>
      </c>
      <c r="D12" s="3" t="s">
        <v>10</v>
      </c>
      <c r="E12" s="3" t="s">
        <v>25</v>
      </c>
      <c r="F12" s="4">
        <v>3537.6812500000001</v>
      </c>
    </row>
    <row r="13" spans="1:6" x14ac:dyDescent="0.3">
      <c r="A13" s="2">
        <v>46040</v>
      </c>
      <c r="B13" s="3" t="s">
        <v>6</v>
      </c>
      <c r="C13" s="3" t="s">
        <v>7</v>
      </c>
      <c r="D13" s="3" t="s">
        <v>14</v>
      </c>
      <c r="E13" s="3" t="s">
        <v>26</v>
      </c>
      <c r="F13" s="4">
        <v>17874.599999999999</v>
      </c>
    </row>
    <row r="14" spans="1:6" x14ac:dyDescent="0.3">
      <c r="A14" s="2">
        <v>46041</v>
      </c>
      <c r="B14" s="3" t="s">
        <v>6</v>
      </c>
      <c r="C14" s="3" t="s">
        <v>7</v>
      </c>
      <c r="D14" s="3" t="s">
        <v>10</v>
      </c>
      <c r="E14" s="3" t="s">
        <v>27</v>
      </c>
      <c r="F14" s="4">
        <v>1117.1624999999999</v>
      </c>
    </row>
    <row r="15" spans="1:6" x14ac:dyDescent="0.3">
      <c r="A15" s="2">
        <v>46042</v>
      </c>
      <c r="B15" s="3" t="s">
        <v>6</v>
      </c>
      <c r="C15" s="3" t="s">
        <v>7</v>
      </c>
      <c r="D15" s="3" t="s">
        <v>10</v>
      </c>
      <c r="E15" s="3" t="s">
        <v>28</v>
      </c>
      <c r="F15" s="4">
        <v>3314.2487499999997</v>
      </c>
    </row>
    <row r="16" spans="1:6" x14ac:dyDescent="0.3">
      <c r="A16" s="2">
        <v>46044</v>
      </c>
      <c r="B16" s="3" t="s">
        <v>6</v>
      </c>
      <c r="C16" s="3" t="s">
        <v>7</v>
      </c>
      <c r="D16" s="3" t="s">
        <v>22</v>
      </c>
      <c r="E16" s="3" t="s">
        <v>29</v>
      </c>
      <c r="F16" s="4">
        <v>4282.4562500000002</v>
      </c>
    </row>
    <row r="17" spans="1:6" x14ac:dyDescent="0.3">
      <c r="A17" s="2">
        <v>46045</v>
      </c>
      <c r="B17" s="3" t="s">
        <v>6</v>
      </c>
      <c r="C17" s="3" t="s">
        <v>7</v>
      </c>
      <c r="D17" s="3" t="s">
        <v>10</v>
      </c>
      <c r="E17" s="3" t="s">
        <v>30</v>
      </c>
      <c r="F17" s="4">
        <v>8937.2999999999993</v>
      </c>
    </row>
    <row r="18" spans="1:6" x14ac:dyDescent="0.3">
      <c r="A18" s="2">
        <v>46047</v>
      </c>
      <c r="B18" s="3" t="s">
        <v>6</v>
      </c>
      <c r="C18" s="3" t="s">
        <v>7</v>
      </c>
      <c r="D18" s="3" t="s">
        <v>12</v>
      </c>
      <c r="E18" s="3" t="s">
        <v>31</v>
      </c>
      <c r="F18" s="4">
        <v>1117.1624999999999</v>
      </c>
    </row>
    <row r="19" spans="1:6" x14ac:dyDescent="0.3">
      <c r="A19" s="2">
        <v>46048</v>
      </c>
      <c r="B19" s="3" t="s">
        <v>6</v>
      </c>
      <c r="C19" s="3" t="s">
        <v>7</v>
      </c>
      <c r="D19" s="3" t="s">
        <v>14</v>
      </c>
      <c r="E19" s="3" t="s">
        <v>32</v>
      </c>
      <c r="F19" s="4">
        <v>5958.2000000000007</v>
      </c>
    </row>
    <row r="20" spans="1:6" x14ac:dyDescent="0.3">
      <c r="A20" s="2">
        <v>46049</v>
      </c>
      <c r="B20" s="3" t="s">
        <v>6</v>
      </c>
      <c r="C20" s="3" t="s">
        <v>7</v>
      </c>
      <c r="D20" s="3" t="s">
        <v>16</v>
      </c>
      <c r="E20" s="3" t="s">
        <v>33</v>
      </c>
      <c r="F20" s="4">
        <v>1582.6468749999999</v>
      </c>
    </row>
    <row r="21" spans="1:6" x14ac:dyDescent="0.3">
      <c r="A21" s="2">
        <v>46050</v>
      </c>
      <c r="B21" s="3" t="s">
        <v>6</v>
      </c>
      <c r="C21" s="3" t="s">
        <v>7</v>
      </c>
      <c r="D21" s="3" t="s">
        <v>34</v>
      </c>
      <c r="E21" s="3" t="s">
        <v>35</v>
      </c>
      <c r="F21" s="4">
        <v>2699.8093749999998</v>
      </c>
    </row>
    <row r="22" spans="1:6" x14ac:dyDescent="0.3">
      <c r="A22" s="2">
        <v>46052</v>
      </c>
      <c r="B22" s="3" t="s">
        <v>6</v>
      </c>
      <c r="C22" s="3" t="s">
        <v>7</v>
      </c>
      <c r="D22" s="3" t="s">
        <v>34</v>
      </c>
      <c r="E22" s="3" t="s">
        <v>36</v>
      </c>
      <c r="F22" s="4">
        <v>2830.1450000000004</v>
      </c>
    </row>
    <row r="23" spans="1:6" x14ac:dyDescent="0.3">
      <c r="A23" s="2">
        <v>46053</v>
      </c>
      <c r="B23" s="3" t="s">
        <v>6</v>
      </c>
      <c r="C23" s="3" t="s">
        <v>7</v>
      </c>
      <c r="D23" s="3" t="s">
        <v>22</v>
      </c>
      <c r="E23" s="3" t="s">
        <v>37</v>
      </c>
      <c r="F23" s="4">
        <v>7447.75</v>
      </c>
    </row>
    <row r="24" spans="1:6" x14ac:dyDescent="0.3">
      <c r="A24" s="2">
        <v>46083</v>
      </c>
      <c r="B24" s="3" t="s">
        <v>38</v>
      </c>
      <c r="C24" s="3" t="s">
        <v>7</v>
      </c>
      <c r="D24" s="3" t="s">
        <v>22</v>
      </c>
      <c r="E24" s="3" t="s">
        <v>39</v>
      </c>
      <c r="F24" s="4">
        <v>5000</v>
      </c>
    </row>
    <row r="25" spans="1:6" x14ac:dyDescent="0.3">
      <c r="A25" s="2">
        <v>46058</v>
      </c>
      <c r="B25" s="3" t="s">
        <v>38</v>
      </c>
      <c r="C25" s="3" t="s">
        <v>7</v>
      </c>
      <c r="D25" s="3" t="s">
        <v>12</v>
      </c>
      <c r="E25" s="3" t="s">
        <v>31</v>
      </c>
      <c r="F25" s="4">
        <v>5000</v>
      </c>
    </row>
    <row r="26" spans="1:6" x14ac:dyDescent="0.3">
      <c r="A26" s="2">
        <v>46059</v>
      </c>
      <c r="B26" s="3" t="s">
        <v>38</v>
      </c>
      <c r="C26" s="3" t="s">
        <v>7</v>
      </c>
      <c r="D26" s="3" t="s">
        <v>34</v>
      </c>
      <c r="E26" s="3" t="s">
        <v>35</v>
      </c>
      <c r="F26" s="4">
        <v>1499.5</v>
      </c>
    </row>
    <row r="27" spans="1:6" x14ac:dyDescent="0.3">
      <c r="A27" t="s">
        <v>40</v>
      </c>
      <c r="B27" s="3" t="s">
        <v>38</v>
      </c>
      <c r="C27" s="3" t="s">
        <v>7</v>
      </c>
      <c r="D27" s="3" t="s">
        <v>8</v>
      </c>
      <c r="E27" s="3" t="s">
        <v>41</v>
      </c>
      <c r="F27" s="4">
        <v>703.81237499999997</v>
      </c>
    </row>
    <row r="28" spans="1:6" x14ac:dyDescent="0.3">
      <c r="A28" t="s">
        <v>42</v>
      </c>
      <c r="B28" s="3" t="s">
        <v>38</v>
      </c>
      <c r="C28" s="3" t="s">
        <v>7</v>
      </c>
      <c r="D28" s="3" t="s">
        <v>18</v>
      </c>
      <c r="E28" s="3" t="s">
        <v>43</v>
      </c>
      <c r="F28" s="4">
        <v>2982.823875</v>
      </c>
    </row>
    <row r="29" spans="1:6" x14ac:dyDescent="0.3">
      <c r="A29" t="s">
        <v>44</v>
      </c>
      <c r="B29" s="3" t="s">
        <v>38</v>
      </c>
      <c r="C29" s="3" t="s">
        <v>7</v>
      </c>
      <c r="D29" s="3" t="s">
        <v>10</v>
      </c>
      <c r="E29" s="3" t="s">
        <v>45</v>
      </c>
      <c r="F29" s="4">
        <v>2632.7796250000001</v>
      </c>
    </row>
    <row r="30" spans="1:6" x14ac:dyDescent="0.3">
      <c r="A30" t="s">
        <v>46</v>
      </c>
      <c r="B30" s="3" t="s">
        <v>38</v>
      </c>
      <c r="C30" s="3" t="s">
        <v>7</v>
      </c>
      <c r="D30" s="3" t="s">
        <v>16</v>
      </c>
      <c r="E30" s="3" t="s">
        <v>47</v>
      </c>
      <c r="F30" s="4">
        <v>1992.2731250000002</v>
      </c>
    </row>
    <row r="31" spans="1:6" x14ac:dyDescent="0.3">
      <c r="A31" t="s">
        <v>48</v>
      </c>
      <c r="B31" s="3" t="s">
        <v>38</v>
      </c>
      <c r="C31" s="3" t="s">
        <v>7</v>
      </c>
      <c r="D31" s="3" t="s">
        <v>18</v>
      </c>
      <c r="E31" s="3" t="s">
        <v>43</v>
      </c>
      <c r="F31" s="4">
        <v>12884.6075</v>
      </c>
    </row>
    <row r="32" spans="1:6" x14ac:dyDescent="0.3">
      <c r="A32" t="s">
        <v>49</v>
      </c>
      <c r="B32" s="3" t="s">
        <v>38</v>
      </c>
      <c r="C32" s="3" t="s">
        <v>7</v>
      </c>
      <c r="D32" s="3" t="s">
        <v>14</v>
      </c>
      <c r="E32" s="3" t="s">
        <v>50</v>
      </c>
      <c r="F32" s="4">
        <v>29000</v>
      </c>
    </row>
    <row r="33" spans="1:6" x14ac:dyDescent="0.3">
      <c r="A33" t="s">
        <v>51</v>
      </c>
      <c r="B33" s="3" t="s">
        <v>38</v>
      </c>
      <c r="C33" s="3" t="s">
        <v>7</v>
      </c>
      <c r="D33" s="3" t="s">
        <v>8</v>
      </c>
      <c r="E33" s="3" t="s">
        <v>41</v>
      </c>
      <c r="F33" s="4">
        <v>12173.347375000001</v>
      </c>
    </row>
    <row r="34" spans="1:6" x14ac:dyDescent="0.3">
      <c r="A34" t="s">
        <v>52</v>
      </c>
      <c r="B34" s="3" t="s">
        <v>38</v>
      </c>
      <c r="C34" s="3" t="s">
        <v>7</v>
      </c>
      <c r="D34" s="3" t="s">
        <v>10</v>
      </c>
      <c r="E34" s="3" t="s">
        <v>45</v>
      </c>
      <c r="F34" s="4">
        <v>19360.426125000005</v>
      </c>
    </row>
    <row r="35" spans="1:6" x14ac:dyDescent="0.3">
      <c r="A35" t="s">
        <v>53</v>
      </c>
      <c r="B35" s="3" t="s">
        <v>54</v>
      </c>
      <c r="C35" s="3" t="s">
        <v>7</v>
      </c>
      <c r="D35" s="3" t="s">
        <v>12</v>
      </c>
      <c r="E35" s="3" t="s">
        <v>55</v>
      </c>
      <c r="F35" s="4">
        <v>10642.834749999998</v>
      </c>
    </row>
    <row r="36" spans="1:6" x14ac:dyDescent="0.3">
      <c r="A36" t="s">
        <v>53</v>
      </c>
      <c r="B36" s="3" t="s">
        <v>54</v>
      </c>
      <c r="C36" s="3" t="s">
        <v>7</v>
      </c>
      <c r="D36" s="3" t="s">
        <v>34</v>
      </c>
      <c r="E36" s="3" t="s">
        <v>35</v>
      </c>
      <c r="F36" s="4">
        <v>2260</v>
      </c>
    </row>
    <row r="37" spans="1:6" x14ac:dyDescent="0.3">
      <c r="A37" t="s">
        <v>56</v>
      </c>
      <c r="B37" s="3" t="s">
        <v>54</v>
      </c>
      <c r="C37" s="3" t="s">
        <v>7</v>
      </c>
      <c r="D37" s="3" t="s">
        <v>8</v>
      </c>
      <c r="E37" s="3" t="s">
        <v>41</v>
      </c>
      <c r="F37" s="4">
        <v>1819.1129375</v>
      </c>
    </row>
    <row r="38" spans="1:6" x14ac:dyDescent="0.3">
      <c r="A38" s="2">
        <v>46464</v>
      </c>
      <c r="B38" s="3" t="s">
        <v>54</v>
      </c>
      <c r="C38" s="3" t="s">
        <v>7</v>
      </c>
      <c r="D38" s="3" t="s">
        <v>14</v>
      </c>
      <c r="E38" s="3" t="s">
        <v>26</v>
      </c>
      <c r="F38" s="4">
        <v>29000</v>
      </c>
    </row>
    <row r="39" spans="1:6" x14ac:dyDescent="0.3">
      <c r="A39" t="s">
        <v>57</v>
      </c>
      <c r="B39" s="3" t="s">
        <v>54</v>
      </c>
      <c r="C39" s="3" t="s">
        <v>7</v>
      </c>
      <c r="D39" s="3" t="s">
        <v>12</v>
      </c>
      <c r="E39" s="3" t="s">
        <v>55</v>
      </c>
      <c r="F39" s="4">
        <v>2288.3211875000002</v>
      </c>
    </row>
    <row r="40" spans="1:6" x14ac:dyDescent="0.3">
      <c r="A40" t="s">
        <v>57</v>
      </c>
      <c r="B40" s="3" t="s">
        <v>54</v>
      </c>
      <c r="C40" s="3" t="s">
        <v>7</v>
      </c>
      <c r="D40" s="3" t="s">
        <v>10</v>
      </c>
      <c r="E40" s="3" t="s">
        <v>45</v>
      </c>
      <c r="F40" s="4">
        <v>1500</v>
      </c>
    </row>
    <row r="41" spans="1:6" x14ac:dyDescent="0.3">
      <c r="A41" t="s">
        <v>58</v>
      </c>
      <c r="B41" s="3" t="s">
        <v>54</v>
      </c>
      <c r="C41" s="3" t="s">
        <v>7</v>
      </c>
      <c r="D41" s="3" t="s">
        <v>16</v>
      </c>
      <c r="E41" s="3" t="s">
        <v>16</v>
      </c>
      <c r="F41" s="4">
        <v>1499.5</v>
      </c>
    </row>
    <row r="42" spans="1:6" x14ac:dyDescent="0.3">
      <c r="A42" t="s">
        <v>58</v>
      </c>
      <c r="B42" s="3" t="s">
        <v>54</v>
      </c>
      <c r="C42" s="3" t="s">
        <v>7</v>
      </c>
      <c r="D42" s="3" t="s">
        <v>8</v>
      </c>
      <c r="E42" s="3" t="s">
        <v>41</v>
      </c>
      <c r="F42" s="4">
        <v>4876.4143125000001</v>
      </c>
    </row>
    <row r="43" spans="1:6" x14ac:dyDescent="0.3">
      <c r="A43" t="s">
        <v>59</v>
      </c>
      <c r="B43" s="3" t="s">
        <v>54</v>
      </c>
      <c r="C43" s="3" t="s">
        <v>7</v>
      </c>
      <c r="D43" s="3" t="s">
        <v>8</v>
      </c>
      <c r="E43" s="3" t="s">
        <v>41</v>
      </c>
      <c r="F43" s="4">
        <v>1709.2586250000004</v>
      </c>
    </row>
    <row r="44" spans="1:6" x14ac:dyDescent="0.3">
      <c r="A44" t="s">
        <v>58</v>
      </c>
      <c r="B44" s="3" t="s">
        <v>54</v>
      </c>
      <c r="C44" s="3" t="s">
        <v>7</v>
      </c>
      <c r="D44" s="3" t="s">
        <v>18</v>
      </c>
      <c r="E44" s="3" t="s">
        <v>43</v>
      </c>
      <c r="F44" s="4">
        <v>7604.1527500000011</v>
      </c>
    </row>
    <row r="45" spans="1:6" x14ac:dyDescent="0.3">
      <c r="A45" t="s">
        <v>60</v>
      </c>
      <c r="B45" s="3" t="s">
        <v>54</v>
      </c>
      <c r="C45" s="3" t="s">
        <v>7</v>
      </c>
      <c r="D45" s="3" t="s">
        <v>22</v>
      </c>
      <c r="E45" s="3" t="s">
        <v>39</v>
      </c>
      <c r="F45" s="4">
        <v>19021.553499999998</v>
      </c>
    </row>
    <row r="46" spans="1:6" x14ac:dyDescent="0.3">
      <c r="A46" t="s">
        <v>61</v>
      </c>
      <c r="B46" s="3" t="s">
        <v>54</v>
      </c>
      <c r="C46" s="3" t="s">
        <v>7</v>
      </c>
      <c r="D46" s="3" t="s">
        <v>18</v>
      </c>
      <c r="E46" s="3" t="s">
        <v>43</v>
      </c>
      <c r="F46" s="4">
        <v>11871.713500000002</v>
      </c>
    </row>
    <row r="47" spans="1:6" x14ac:dyDescent="0.3">
      <c r="A47" t="s">
        <v>62</v>
      </c>
      <c r="B47" s="3" t="s">
        <v>63</v>
      </c>
      <c r="C47" s="3" t="s">
        <v>7</v>
      </c>
      <c r="D47" s="3" t="s">
        <v>12</v>
      </c>
      <c r="E47" s="3" t="s">
        <v>55</v>
      </c>
      <c r="F47" s="4">
        <v>12519.667750000001</v>
      </c>
    </row>
    <row r="48" spans="1:6" x14ac:dyDescent="0.3">
      <c r="A48" t="s">
        <v>64</v>
      </c>
      <c r="B48" s="3" t="s">
        <v>63</v>
      </c>
      <c r="C48" s="3" t="s">
        <v>7</v>
      </c>
      <c r="D48" s="3" t="s">
        <v>16</v>
      </c>
      <c r="E48" s="3" t="s">
        <v>47</v>
      </c>
      <c r="F48" s="4">
        <v>8870.2702500000014</v>
      </c>
    </row>
    <row r="49" spans="1:6" x14ac:dyDescent="0.3">
      <c r="A49" t="s">
        <v>65</v>
      </c>
      <c r="B49" s="3" t="s">
        <v>63</v>
      </c>
      <c r="C49" s="3" t="s">
        <v>7</v>
      </c>
      <c r="D49" s="3" t="s">
        <v>12</v>
      </c>
      <c r="E49" s="3" t="s">
        <v>55</v>
      </c>
      <c r="F49" s="4">
        <v>3012.6148750000002</v>
      </c>
    </row>
    <row r="50" spans="1:6" x14ac:dyDescent="0.3">
      <c r="A50" t="s">
        <v>65</v>
      </c>
      <c r="B50" s="3" t="s">
        <v>63</v>
      </c>
      <c r="C50" s="3" t="s">
        <v>7</v>
      </c>
      <c r="D50" s="3" t="s">
        <v>8</v>
      </c>
      <c r="E50" s="3" t="s">
        <v>41</v>
      </c>
      <c r="F50" s="4">
        <v>1550</v>
      </c>
    </row>
    <row r="51" spans="1:6" x14ac:dyDescent="0.3">
      <c r="A51" t="s">
        <v>65</v>
      </c>
      <c r="B51" s="3" t="s">
        <v>63</v>
      </c>
      <c r="C51" s="3" t="s">
        <v>7</v>
      </c>
      <c r="D51" s="3" t="s">
        <v>10</v>
      </c>
      <c r="E51" s="3" t="s">
        <v>45</v>
      </c>
      <c r="F51" s="4">
        <v>999</v>
      </c>
    </row>
    <row r="52" spans="1:6" x14ac:dyDescent="0.3">
      <c r="A52" t="s">
        <v>65</v>
      </c>
      <c r="B52" s="3" t="s">
        <v>63</v>
      </c>
      <c r="C52" s="3" t="s">
        <v>7</v>
      </c>
      <c r="D52" s="3" t="s">
        <v>18</v>
      </c>
      <c r="E52" s="3" t="s">
        <v>43</v>
      </c>
      <c r="F52" s="4">
        <v>5000</v>
      </c>
    </row>
    <row r="53" spans="1:6" x14ac:dyDescent="0.3">
      <c r="A53" t="s">
        <v>66</v>
      </c>
      <c r="B53" s="3" t="s">
        <v>63</v>
      </c>
      <c r="C53" s="3" t="s">
        <v>7</v>
      </c>
      <c r="D53" s="3" t="s">
        <v>12</v>
      </c>
      <c r="E53" s="3" t="s">
        <v>55</v>
      </c>
      <c r="F53" s="4">
        <v>12808.268062500001</v>
      </c>
    </row>
    <row r="54" spans="1:6" x14ac:dyDescent="0.3">
      <c r="A54" t="s">
        <v>67</v>
      </c>
      <c r="B54" s="3" t="s">
        <v>63</v>
      </c>
      <c r="C54" s="3" t="s">
        <v>7</v>
      </c>
      <c r="D54" s="3" t="s">
        <v>16</v>
      </c>
      <c r="E54" s="3" t="s">
        <v>47</v>
      </c>
      <c r="F54" s="4">
        <v>6185.3563750000012</v>
      </c>
    </row>
    <row r="55" spans="1:6" x14ac:dyDescent="0.3">
      <c r="A55" t="s">
        <v>68</v>
      </c>
      <c r="B55" s="3" t="s">
        <v>63</v>
      </c>
      <c r="C55" s="3" t="s">
        <v>7</v>
      </c>
      <c r="D55" s="3" t="s">
        <v>14</v>
      </c>
      <c r="E55" s="3" t="s">
        <v>50</v>
      </c>
      <c r="F55" s="4">
        <v>29000</v>
      </c>
    </row>
    <row r="56" spans="1:6" x14ac:dyDescent="0.3">
      <c r="A56" t="s">
        <v>69</v>
      </c>
      <c r="B56" s="3" t="s">
        <v>63</v>
      </c>
      <c r="C56" s="3" t="s">
        <v>7</v>
      </c>
      <c r="D56" s="3" t="s">
        <v>16</v>
      </c>
      <c r="E56" s="3" t="s">
        <v>47</v>
      </c>
      <c r="F56" s="4">
        <v>9073.2214375000003</v>
      </c>
    </row>
    <row r="57" spans="1:6" x14ac:dyDescent="0.3">
      <c r="A57" t="s">
        <v>70</v>
      </c>
      <c r="B57" s="3" t="s">
        <v>63</v>
      </c>
      <c r="C57" s="3" t="s">
        <v>7</v>
      </c>
      <c r="D57" s="3" t="s">
        <v>34</v>
      </c>
      <c r="E57" s="3" t="s">
        <v>71</v>
      </c>
      <c r="F57" s="4">
        <v>2958.6186874999999</v>
      </c>
    </row>
    <row r="58" spans="1:6" x14ac:dyDescent="0.3">
      <c r="A58" t="s">
        <v>72</v>
      </c>
      <c r="B58" s="3" t="s">
        <v>73</v>
      </c>
      <c r="C58" s="3" t="s">
        <v>7</v>
      </c>
      <c r="D58" s="3" t="s">
        <v>8</v>
      </c>
      <c r="E58" s="3" t="s">
        <v>41</v>
      </c>
      <c r="F58" s="4">
        <v>3654.9833125000005</v>
      </c>
    </row>
    <row r="59" spans="1:6" x14ac:dyDescent="0.3">
      <c r="A59" t="s">
        <v>72</v>
      </c>
      <c r="B59" s="3" t="s">
        <v>73</v>
      </c>
      <c r="C59" s="3" t="s">
        <v>7</v>
      </c>
      <c r="D59" s="3" t="s">
        <v>12</v>
      </c>
      <c r="E59" s="3" t="s">
        <v>55</v>
      </c>
      <c r="F59" s="4">
        <v>4999.5</v>
      </c>
    </row>
    <row r="60" spans="1:6" x14ac:dyDescent="0.3">
      <c r="A60" t="s">
        <v>72</v>
      </c>
      <c r="B60" s="3" t="s">
        <v>73</v>
      </c>
      <c r="C60" s="3" t="s">
        <v>7</v>
      </c>
      <c r="D60" s="3" t="s">
        <v>18</v>
      </c>
      <c r="E60" s="3" t="s">
        <v>43</v>
      </c>
      <c r="F60" s="4">
        <v>7200</v>
      </c>
    </row>
    <row r="61" spans="1:6" x14ac:dyDescent="0.3">
      <c r="A61" t="s">
        <v>72</v>
      </c>
      <c r="B61" s="3" t="s">
        <v>73</v>
      </c>
      <c r="C61" s="3" t="s">
        <v>7</v>
      </c>
      <c r="D61" s="3" t="s">
        <v>10</v>
      </c>
      <c r="E61" s="3" t="s">
        <v>45</v>
      </c>
      <c r="F61" s="4">
        <v>1500</v>
      </c>
    </row>
    <row r="62" spans="1:6" x14ac:dyDescent="0.3">
      <c r="A62" t="s">
        <v>74</v>
      </c>
      <c r="B62" s="3" t="s">
        <v>73</v>
      </c>
      <c r="C62" s="3" t="s">
        <v>7</v>
      </c>
      <c r="D62" s="3" t="s">
        <v>18</v>
      </c>
      <c r="E62" s="3" t="s">
        <v>43</v>
      </c>
      <c r="F62" s="4">
        <v>11715.310750000001</v>
      </c>
    </row>
    <row r="63" spans="1:6" x14ac:dyDescent="0.3">
      <c r="A63" t="s">
        <v>75</v>
      </c>
      <c r="B63" s="3" t="s">
        <v>73</v>
      </c>
      <c r="C63" s="3" t="s">
        <v>7</v>
      </c>
      <c r="D63" s="3" t="s">
        <v>22</v>
      </c>
      <c r="E63" s="3" t="s">
        <v>39</v>
      </c>
      <c r="F63" s="4">
        <v>6088.5356250000004</v>
      </c>
    </row>
    <row r="64" spans="1:6" x14ac:dyDescent="0.3">
      <c r="A64" t="s">
        <v>76</v>
      </c>
      <c r="B64" s="3" t="s">
        <v>73</v>
      </c>
      <c r="C64" s="3" t="s">
        <v>7</v>
      </c>
      <c r="D64" s="3" t="s">
        <v>8</v>
      </c>
      <c r="E64" s="3" t="s">
        <v>41</v>
      </c>
      <c r="F64" s="4">
        <v>9458.6425000000017</v>
      </c>
    </row>
    <row r="65" spans="1:6" x14ac:dyDescent="0.3">
      <c r="A65" t="s">
        <v>77</v>
      </c>
      <c r="B65" s="3" t="s">
        <v>73</v>
      </c>
      <c r="C65" s="3" t="s">
        <v>7</v>
      </c>
      <c r="D65" s="3" t="s">
        <v>16</v>
      </c>
      <c r="E65" s="3" t="s">
        <v>47</v>
      </c>
      <c r="F65" s="4">
        <v>5954.4761250000001</v>
      </c>
    </row>
    <row r="66" spans="1:6" x14ac:dyDescent="0.3">
      <c r="A66" t="s">
        <v>77</v>
      </c>
      <c r="B66" s="3" t="s">
        <v>73</v>
      </c>
      <c r="C66" s="3" t="s">
        <v>7</v>
      </c>
      <c r="D66" s="3" t="s">
        <v>22</v>
      </c>
      <c r="E66" s="3" t="s">
        <v>39</v>
      </c>
      <c r="F66" s="4">
        <v>11581.251249999999</v>
      </c>
    </row>
    <row r="67" spans="1:6" x14ac:dyDescent="0.3">
      <c r="A67" t="s">
        <v>78</v>
      </c>
      <c r="B67" s="3" t="s">
        <v>73</v>
      </c>
      <c r="C67" s="3" t="s">
        <v>7</v>
      </c>
      <c r="D67" s="3" t="s">
        <v>14</v>
      </c>
      <c r="E67" s="3" t="s">
        <v>50</v>
      </c>
      <c r="F67" s="4">
        <v>29000</v>
      </c>
    </row>
    <row r="68" spans="1:6" x14ac:dyDescent="0.3">
      <c r="A68" t="s">
        <v>79</v>
      </c>
      <c r="B68" s="3" t="s">
        <v>73</v>
      </c>
      <c r="C68" s="3" t="s">
        <v>7</v>
      </c>
      <c r="D68" s="3" t="s">
        <v>34</v>
      </c>
      <c r="E68" s="3" t="s">
        <v>71</v>
      </c>
      <c r="F68" s="4">
        <v>1258.66975</v>
      </c>
    </row>
    <row r="69" spans="1:6" x14ac:dyDescent="0.3">
      <c r="A69" t="s">
        <v>79</v>
      </c>
      <c r="B69" s="3" t="s">
        <v>80</v>
      </c>
      <c r="C69" s="3" t="s">
        <v>7</v>
      </c>
      <c r="D69" s="3" t="s">
        <v>16</v>
      </c>
      <c r="E69" s="3" t="s">
        <v>47</v>
      </c>
      <c r="F69" s="4">
        <v>1307.5</v>
      </c>
    </row>
    <row r="70" spans="1:6" x14ac:dyDescent="0.3">
      <c r="A70" t="s">
        <v>79</v>
      </c>
      <c r="B70" s="3" t="s">
        <v>80</v>
      </c>
      <c r="C70" s="3" t="s">
        <v>7</v>
      </c>
      <c r="D70" s="3" t="s">
        <v>10</v>
      </c>
      <c r="E70" s="3" t="s">
        <v>45</v>
      </c>
      <c r="F70" s="4">
        <v>500</v>
      </c>
    </row>
    <row r="71" spans="1:6" x14ac:dyDescent="0.3">
      <c r="A71" t="s">
        <v>79</v>
      </c>
      <c r="B71" s="3" t="s">
        <v>80</v>
      </c>
      <c r="C71" s="3" t="s">
        <v>7</v>
      </c>
      <c r="D71" s="3" t="s">
        <v>18</v>
      </c>
      <c r="E71" s="3" t="s">
        <v>43</v>
      </c>
      <c r="F71" s="4">
        <v>4525</v>
      </c>
    </row>
    <row r="72" spans="1:6" x14ac:dyDescent="0.3">
      <c r="A72" t="s">
        <v>81</v>
      </c>
      <c r="B72" s="3" t="s">
        <v>80</v>
      </c>
      <c r="C72" s="3" t="s">
        <v>7</v>
      </c>
      <c r="D72" s="3" t="s">
        <v>8</v>
      </c>
      <c r="E72" s="3" t="s">
        <v>41</v>
      </c>
      <c r="F72" s="4">
        <v>5714.2861874999999</v>
      </c>
    </row>
    <row r="73" spans="1:6" x14ac:dyDescent="0.3">
      <c r="A73" t="s">
        <v>82</v>
      </c>
      <c r="B73" s="3" t="s">
        <v>80</v>
      </c>
      <c r="C73" s="3" t="s">
        <v>7</v>
      </c>
      <c r="D73" s="3" t="s">
        <v>8</v>
      </c>
      <c r="E73" s="3" t="s">
        <v>41</v>
      </c>
      <c r="F73" s="4">
        <v>5850.2076250000009</v>
      </c>
    </row>
    <row r="74" spans="1:6" x14ac:dyDescent="0.3">
      <c r="A74" t="s">
        <v>83</v>
      </c>
      <c r="B74" s="3" t="s">
        <v>80</v>
      </c>
      <c r="C74" s="3" t="s">
        <v>7</v>
      </c>
      <c r="D74" s="3" t="s">
        <v>12</v>
      </c>
      <c r="E74" s="3" t="s">
        <v>55</v>
      </c>
      <c r="F74" s="4">
        <v>1420.6583125000002</v>
      </c>
    </row>
    <row r="75" spans="1:6" x14ac:dyDescent="0.3">
      <c r="A75" t="s">
        <v>84</v>
      </c>
      <c r="B75" s="3" t="s">
        <v>80</v>
      </c>
      <c r="C75" s="3" t="s">
        <v>7</v>
      </c>
      <c r="D75" s="3" t="s">
        <v>8</v>
      </c>
      <c r="E75" s="3" t="s">
        <v>41</v>
      </c>
      <c r="F75" s="4">
        <v>9719.3137499999993</v>
      </c>
    </row>
    <row r="76" spans="1:6" x14ac:dyDescent="0.3">
      <c r="A76" t="s">
        <v>85</v>
      </c>
      <c r="B76" s="3" t="s">
        <v>80</v>
      </c>
      <c r="C76" s="3" t="s">
        <v>7</v>
      </c>
      <c r="D76" s="3" t="s">
        <v>14</v>
      </c>
      <c r="E76" s="3" t="s">
        <v>50</v>
      </c>
      <c r="F76" s="4">
        <v>28900</v>
      </c>
    </row>
    <row r="77" spans="1:6" x14ac:dyDescent="0.3">
      <c r="A77" t="s">
        <v>83</v>
      </c>
      <c r="B77" s="3" t="s">
        <v>80</v>
      </c>
      <c r="C77" s="3" t="s">
        <v>7</v>
      </c>
      <c r="D77" s="3" t="s">
        <v>22</v>
      </c>
      <c r="E77" s="3" t="s">
        <v>39</v>
      </c>
      <c r="F77" s="4">
        <v>85000</v>
      </c>
    </row>
    <row r="78" spans="1:6" x14ac:dyDescent="0.3">
      <c r="A78" t="s">
        <v>86</v>
      </c>
      <c r="B78" s="3" t="s">
        <v>80</v>
      </c>
      <c r="C78" s="3" t="s">
        <v>7</v>
      </c>
      <c r="D78" s="3" t="s">
        <v>14</v>
      </c>
      <c r="E78" s="3" t="s">
        <v>50</v>
      </c>
      <c r="F78" s="4">
        <v>100</v>
      </c>
    </row>
    <row r="79" spans="1:6" x14ac:dyDescent="0.3">
      <c r="A79" t="s">
        <v>87</v>
      </c>
      <c r="B79" s="3" t="s">
        <v>80</v>
      </c>
      <c r="C79" s="3" t="s">
        <v>7</v>
      </c>
      <c r="D79" s="3" t="s">
        <v>34</v>
      </c>
      <c r="E79" s="3" t="s">
        <v>71</v>
      </c>
      <c r="F79" s="4">
        <v>925.38293750000003</v>
      </c>
    </row>
    <row r="80" spans="1:6" x14ac:dyDescent="0.3">
      <c r="A80" t="s">
        <v>88</v>
      </c>
      <c r="B80" s="3" t="s">
        <v>89</v>
      </c>
      <c r="C80" s="3" t="s">
        <v>7</v>
      </c>
      <c r="D80" s="3" t="s">
        <v>8</v>
      </c>
      <c r="E80" s="3" t="s">
        <v>41</v>
      </c>
      <c r="F80" s="4">
        <v>2768.7010625000003</v>
      </c>
    </row>
    <row r="81" spans="1:6" x14ac:dyDescent="0.3">
      <c r="A81" t="s">
        <v>88</v>
      </c>
      <c r="B81" s="3" t="s">
        <v>89</v>
      </c>
      <c r="C81" s="3" t="s">
        <v>7</v>
      </c>
      <c r="D81" s="3" t="s">
        <v>16</v>
      </c>
      <c r="E81" s="3" t="s">
        <v>47</v>
      </c>
      <c r="F81" s="4">
        <v>1500</v>
      </c>
    </row>
    <row r="82" spans="1:6" x14ac:dyDescent="0.3">
      <c r="A82" t="s">
        <v>88</v>
      </c>
      <c r="B82" s="3" t="s">
        <v>89</v>
      </c>
      <c r="C82" s="3" t="s">
        <v>7</v>
      </c>
      <c r="D82" s="3" t="s">
        <v>10</v>
      </c>
      <c r="E82" s="3" t="s">
        <v>45</v>
      </c>
      <c r="F82" s="4">
        <v>5000</v>
      </c>
    </row>
    <row r="83" spans="1:6" x14ac:dyDescent="0.3">
      <c r="A83" t="s">
        <v>90</v>
      </c>
      <c r="B83" s="3" t="s">
        <v>89</v>
      </c>
      <c r="C83" s="3" t="s">
        <v>7</v>
      </c>
      <c r="D83" s="3" t="s">
        <v>12</v>
      </c>
      <c r="E83" s="3" t="s">
        <v>55</v>
      </c>
      <c r="F83" s="4">
        <v>8198.110812500001</v>
      </c>
    </row>
    <row r="84" spans="1:6" x14ac:dyDescent="0.3">
      <c r="A84" t="s">
        <v>91</v>
      </c>
      <c r="B84" s="3" t="s">
        <v>89</v>
      </c>
      <c r="C84" s="3" t="s">
        <v>7</v>
      </c>
      <c r="D84" s="3" t="s">
        <v>34</v>
      </c>
      <c r="E84" s="3" t="s">
        <v>71</v>
      </c>
      <c r="F84" s="4">
        <v>5598.8460625000007</v>
      </c>
    </row>
    <row r="85" spans="1:6" x14ac:dyDescent="0.3">
      <c r="A85" t="s">
        <v>92</v>
      </c>
      <c r="B85" s="3" t="s">
        <v>89</v>
      </c>
      <c r="C85" s="3" t="s">
        <v>7</v>
      </c>
      <c r="D85" s="3" t="s">
        <v>22</v>
      </c>
      <c r="E85" s="3" t="s">
        <v>39</v>
      </c>
      <c r="F85" s="4">
        <v>2245.4966250000002</v>
      </c>
    </row>
    <row r="86" spans="1:6" x14ac:dyDescent="0.3">
      <c r="A86" t="s">
        <v>90</v>
      </c>
      <c r="B86" s="3" t="s">
        <v>89</v>
      </c>
      <c r="C86" s="3" t="s">
        <v>7</v>
      </c>
      <c r="D86" s="3" t="s">
        <v>34</v>
      </c>
      <c r="E86" s="3" t="s">
        <v>71</v>
      </c>
      <c r="F86" s="4">
        <v>11657.5906875</v>
      </c>
    </row>
    <row r="87" spans="1:6" x14ac:dyDescent="0.3">
      <c r="A87" t="s">
        <v>93</v>
      </c>
      <c r="B87" s="3" t="s">
        <v>89</v>
      </c>
      <c r="C87" s="3" t="s">
        <v>7</v>
      </c>
      <c r="D87" s="3" t="s">
        <v>22</v>
      </c>
      <c r="E87" s="3" t="s">
        <v>39</v>
      </c>
      <c r="F87" s="4">
        <v>24063.680250000005</v>
      </c>
    </row>
    <row r="88" spans="1:6" x14ac:dyDescent="0.3">
      <c r="A88" t="s">
        <v>94</v>
      </c>
      <c r="B88" s="3" t="s">
        <v>89</v>
      </c>
      <c r="C88" s="3" t="s">
        <v>7</v>
      </c>
      <c r="D88" s="3" t="s">
        <v>18</v>
      </c>
      <c r="E88" s="3" t="s">
        <v>43</v>
      </c>
      <c r="F88" s="4">
        <v>4401.6202499999999</v>
      </c>
    </row>
    <row r="89" spans="1:6" x14ac:dyDescent="0.3">
      <c r="A89" s="2">
        <v>46224</v>
      </c>
      <c r="B89" s="3" t="s">
        <v>89</v>
      </c>
      <c r="C89" s="3" t="s">
        <v>7</v>
      </c>
      <c r="D89" s="3" t="s">
        <v>14</v>
      </c>
      <c r="E89" s="3" t="s">
        <v>50</v>
      </c>
      <c r="F89" s="4">
        <v>29000</v>
      </c>
    </row>
    <row r="90" spans="1:6" x14ac:dyDescent="0.3">
      <c r="A90" t="s">
        <v>95</v>
      </c>
      <c r="B90" s="3" t="s">
        <v>89</v>
      </c>
      <c r="C90" s="3" t="s">
        <v>7</v>
      </c>
      <c r="D90" s="3" t="s">
        <v>34</v>
      </c>
      <c r="E90" s="3" t="s">
        <v>71</v>
      </c>
      <c r="F90" s="4">
        <v>11681.795875000002</v>
      </c>
    </row>
    <row r="91" spans="1:6" x14ac:dyDescent="0.3">
      <c r="A91" t="s">
        <v>96</v>
      </c>
      <c r="B91" s="3" t="s">
        <v>97</v>
      </c>
      <c r="C91" s="3" t="s">
        <v>7</v>
      </c>
      <c r="D91" s="3" t="s">
        <v>34</v>
      </c>
      <c r="E91" s="3" t="s">
        <v>71</v>
      </c>
      <c r="F91" s="4">
        <v>3448.30825</v>
      </c>
    </row>
    <row r="92" spans="1:6" x14ac:dyDescent="0.3">
      <c r="A92" t="s">
        <v>96</v>
      </c>
      <c r="B92" s="3" t="s">
        <v>97</v>
      </c>
      <c r="C92" s="3" t="s">
        <v>7</v>
      </c>
      <c r="D92" s="3" t="s">
        <v>8</v>
      </c>
      <c r="E92" s="3" t="s">
        <v>41</v>
      </c>
      <c r="F92" s="4">
        <v>500</v>
      </c>
    </row>
    <row r="93" spans="1:6" x14ac:dyDescent="0.3">
      <c r="A93" t="s">
        <v>96</v>
      </c>
      <c r="B93" s="3" t="s">
        <v>97</v>
      </c>
      <c r="C93" s="3" t="s">
        <v>7</v>
      </c>
      <c r="D93" s="3" t="s">
        <v>16</v>
      </c>
      <c r="E93" s="3" t="s">
        <v>47</v>
      </c>
      <c r="F93" s="4">
        <v>1250</v>
      </c>
    </row>
    <row r="94" spans="1:6" x14ac:dyDescent="0.3">
      <c r="A94" t="s">
        <v>96</v>
      </c>
      <c r="B94" s="3" t="s">
        <v>97</v>
      </c>
      <c r="C94" s="3" t="s">
        <v>7</v>
      </c>
      <c r="D94" s="3" t="s">
        <v>10</v>
      </c>
      <c r="E94" s="3" t="s">
        <v>45</v>
      </c>
      <c r="F94" s="4">
        <v>7000</v>
      </c>
    </row>
    <row r="95" spans="1:6" x14ac:dyDescent="0.3">
      <c r="A95" t="s">
        <v>98</v>
      </c>
      <c r="B95" s="3" t="s">
        <v>97</v>
      </c>
      <c r="C95" s="3" t="s">
        <v>7</v>
      </c>
      <c r="D95" s="3" t="s">
        <v>34</v>
      </c>
      <c r="E95" s="3" t="s">
        <v>71</v>
      </c>
      <c r="F95" s="4">
        <v>3928.6881249999997</v>
      </c>
    </row>
    <row r="96" spans="1:6" x14ac:dyDescent="0.3">
      <c r="A96" t="s">
        <v>99</v>
      </c>
      <c r="B96" s="3" t="s">
        <v>97</v>
      </c>
      <c r="C96" s="3" t="s">
        <v>7</v>
      </c>
      <c r="D96" s="3" t="s">
        <v>34</v>
      </c>
      <c r="E96" s="3" t="s">
        <v>71</v>
      </c>
      <c r="F96" s="4">
        <v>8779.0353125000001</v>
      </c>
    </row>
    <row r="97" spans="1:6" x14ac:dyDescent="0.3">
      <c r="A97" t="s">
        <v>96</v>
      </c>
      <c r="B97" s="3" t="s">
        <v>97</v>
      </c>
      <c r="C97" s="3" t="s">
        <v>7</v>
      </c>
      <c r="D97" s="3" t="s">
        <v>34</v>
      </c>
      <c r="E97" s="3" t="s">
        <v>71</v>
      </c>
      <c r="F97" s="4">
        <v>6946.8888125000012</v>
      </c>
    </row>
    <row r="98" spans="1:6" x14ac:dyDescent="0.3">
      <c r="A98" s="2">
        <v>46239</v>
      </c>
      <c r="B98" s="3" t="s">
        <v>97</v>
      </c>
      <c r="C98" s="3" t="s">
        <v>7</v>
      </c>
      <c r="D98" s="3" t="s">
        <v>22</v>
      </c>
      <c r="E98" s="3" t="s">
        <v>39</v>
      </c>
      <c r="F98" s="4">
        <v>3592</v>
      </c>
    </row>
    <row r="99" spans="1:6" x14ac:dyDescent="0.3">
      <c r="A99" t="s">
        <v>100</v>
      </c>
      <c r="B99" s="3" t="s">
        <v>97</v>
      </c>
      <c r="C99" s="3" t="s">
        <v>7</v>
      </c>
      <c r="D99" s="3" t="s">
        <v>14</v>
      </c>
      <c r="E99" s="3" t="s">
        <v>50</v>
      </c>
      <c r="F99" s="4">
        <v>29000</v>
      </c>
    </row>
    <row r="100" spans="1:6" x14ac:dyDescent="0.3">
      <c r="A100" t="s">
        <v>100</v>
      </c>
      <c r="B100" s="3" t="s">
        <v>97</v>
      </c>
      <c r="C100" s="3" t="s">
        <v>7</v>
      </c>
      <c r="D100" s="3" t="s">
        <v>18</v>
      </c>
      <c r="E100" s="3" t="s">
        <v>43</v>
      </c>
      <c r="F100" s="4">
        <v>8639.39</v>
      </c>
    </row>
    <row r="101" spans="1:6" x14ac:dyDescent="0.3">
      <c r="A101" t="s">
        <v>101</v>
      </c>
      <c r="B101" s="3" t="s">
        <v>97</v>
      </c>
      <c r="C101" s="3" t="s">
        <v>7</v>
      </c>
      <c r="D101" s="3" t="s">
        <v>12</v>
      </c>
      <c r="E101" s="3" t="s">
        <v>55</v>
      </c>
      <c r="F101" s="4">
        <v>8356.3755000000001</v>
      </c>
    </row>
    <row r="102" spans="1:6" x14ac:dyDescent="0.3">
      <c r="A102" t="s">
        <v>102</v>
      </c>
      <c r="B102" s="3" t="s">
        <v>97</v>
      </c>
      <c r="C102" s="3" t="s">
        <v>7</v>
      </c>
      <c r="D102" s="3" t="s">
        <v>34</v>
      </c>
      <c r="E102" s="3" t="s">
        <v>71</v>
      </c>
      <c r="F102" s="4">
        <v>3854.2106250000002</v>
      </c>
    </row>
    <row r="103" spans="1:6" x14ac:dyDescent="0.3">
      <c r="A103" t="s">
        <v>103</v>
      </c>
      <c r="B103" s="3" t="s">
        <v>104</v>
      </c>
      <c r="C103" s="3" t="s">
        <v>7</v>
      </c>
      <c r="D103" s="3" t="s">
        <v>8</v>
      </c>
      <c r="E103" s="3" t="s">
        <v>41</v>
      </c>
      <c r="F103" s="4">
        <v>22000</v>
      </c>
    </row>
    <row r="104" spans="1:6" x14ac:dyDescent="0.3">
      <c r="A104" t="s">
        <v>103</v>
      </c>
      <c r="B104" s="3" t="s">
        <v>104</v>
      </c>
      <c r="C104" s="3" t="s">
        <v>7</v>
      </c>
      <c r="D104" s="3" t="s">
        <v>16</v>
      </c>
      <c r="E104" s="3" t="s">
        <v>47</v>
      </c>
      <c r="F104" s="4">
        <v>4000</v>
      </c>
    </row>
    <row r="105" spans="1:6" x14ac:dyDescent="0.3">
      <c r="A105" t="s">
        <v>105</v>
      </c>
      <c r="B105" s="3" t="s">
        <v>104</v>
      </c>
      <c r="C105" s="3" t="s">
        <v>7</v>
      </c>
      <c r="D105" s="3" t="s">
        <v>10</v>
      </c>
      <c r="E105" s="3" t="s">
        <v>45</v>
      </c>
      <c r="F105" s="4">
        <v>22603.921249999999</v>
      </c>
    </row>
    <row r="106" spans="1:6" x14ac:dyDescent="0.3">
      <c r="A106" t="s">
        <v>105</v>
      </c>
      <c r="B106" s="3" t="s">
        <v>104</v>
      </c>
      <c r="C106" s="3" t="s">
        <v>7</v>
      </c>
      <c r="D106" s="3" t="s">
        <v>34</v>
      </c>
      <c r="E106" s="3" t="s">
        <v>71</v>
      </c>
      <c r="F106" s="4">
        <v>10557.185625</v>
      </c>
    </row>
    <row r="107" spans="1:6" x14ac:dyDescent="0.3">
      <c r="A107" t="s">
        <v>106</v>
      </c>
      <c r="B107" s="3" t="s">
        <v>104</v>
      </c>
      <c r="C107" s="3" t="s">
        <v>7</v>
      </c>
      <c r="D107" s="3" t="s">
        <v>12</v>
      </c>
      <c r="E107" s="3" t="s">
        <v>55</v>
      </c>
      <c r="F107" s="4">
        <v>6855.6538750000009</v>
      </c>
    </row>
    <row r="108" spans="1:6" x14ac:dyDescent="0.3">
      <c r="A108" s="2">
        <v>46270</v>
      </c>
      <c r="B108" s="3" t="s">
        <v>104</v>
      </c>
      <c r="C108" s="3" t="s">
        <v>7</v>
      </c>
      <c r="D108" s="3" t="s">
        <v>22</v>
      </c>
      <c r="E108" s="3" t="s">
        <v>39</v>
      </c>
      <c r="F108" s="4">
        <v>5000</v>
      </c>
    </row>
    <row r="109" spans="1:6" x14ac:dyDescent="0.3">
      <c r="A109" t="s">
        <v>107</v>
      </c>
      <c r="B109" s="3" t="s">
        <v>104</v>
      </c>
      <c r="C109" s="3" t="s">
        <v>7</v>
      </c>
      <c r="D109" s="3" t="s">
        <v>12</v>
      </c>
      <c r="E109" s="3" t="s">
        <v>55</v>
      </c>
      <c r="F109" s="4">
        <v>3826.2815625000003</v>
      </c>
    </row>
    <row r="110" spans="1:6" x14ac:dyDescent="0.3">
      <c r="A110" t="s">
        <v>108</v>
      </c>
      <c r="B110" s="3" t="s">
        <v>104</v>
      </c>
      <c r="C110" s="3" t="s">
        <v>7</v>
      </c>
      <c r="D110" s="3" t="s">
        <v>34</v>
      </c>
      <c r="E110" s="3" t="s">
        <v>71</v>
      </c>
      <c r="F110" s="4">
        <v>7522.2275000000009</v>
      </c>
    </row>
    <row r="111" spans="1:6" x14ac:dyDescent="0.3">
      <c r="A111" t="s">
        <v>109</v>
      </c>
      <c r="B111" s="3" t="s">
        <v>104</v>
      </c>
      <c r="C111" s="3" t="s">
        <v>7</v>
      </c>
      <c r="D111" s="3" t="s">
        <v>18</v>
      </c>
      <c r="E111" s="3" t="s">
        <v>43</v>
      </c>
      <c r="F111" s="4">
        <v>21147.886125000001</v>
      </c>
    </row>
    <row r="112" spans="1:6" x14ac:dyDescent="0.3">
      <c r="A112" s="2">
        <v>46283</v>
      </c>
      <c r="B112" s="3" t="s">
        <v>104</v>
      </c>
      <c r="C112" s="3" t="s">
        <v>7</v>
      </c>
      <c r="D112" s="3" t="s">
        <v>14</v>
      </c>
      <c r="E112" s="3" t="s">
        <v>50</v>
      </c>
      <c r="F112" s="4">
        <v>29000</v>
      </c>
    </row>
    <row r="113" spans="1:6" x14ac:dyDescent="0.3">
      <c r="A113" t="s">
        <v>110</v>
      </c>
      <c r="B113" s="3" t="s">
        <v>104</v>
      </c>
      <c r="C113" s="3" t="s">
        <v>7</v>
      </c>
      <c r="D113" s="3" t="s">
        <v>12</v>
      </c>
      <c r="E113" s="3" t="s">
        <v>55</v>
      </c>
      <c r="F113" s="4">
        <v>4582.2281874999999</v>
      </c>
    </row>
    <row r="114" spans="1:6" x14ac:dyDescent="0.3">
      <c r="A114" t="s">
        <v>111</v>
      </c>
      <c r="B114" s="3" t="s">
        <v>112</v>
      </c>
      <c r="C114" s="3" t="s">
        <v>7</v>
      </c>
      <c r="D114" s="3" t="s">
        <v>8</v>
      </c>
      <c r="E114" s="3" t="s">
        <v>71</v>
      </c>
      <c r="F114" s="4">
        <v>522.22749999999996</v>
      </c>
    </row>
    <row r="115" spans="1:6" x14ac:dyDescent="0.3">
      <c r="A115" t="s">
        <v>111</v>
      </c>
      <c r="B115" s="3" t="s">
        <v>112</v>
      </c>
      <c r="C115" s="3" t="s">
        <v>7</v>
      </c>
      <c r="D115" s="3" t="s">
        <v>34</v>
      </c>
      <c r="E115" s="3" t="s">
        <v>71</v>
      </c>
      <c r="F115" s="4">
        <v>4582.2281874999999</v>
      </c>
    </row>
    <row r="116" spans="1:6" x14ac:dyDescent="0.3">
      <c r="A116" t="s">
        <v>111</v>
      </c>
      <c r="B116" s="3" t="s">
        <v>112</v>
      </c>
      <c r="C116" s="3" t="s">
        <v>7</v>
      </c>
      <c r="D116" s="3" t="s">
        <v>10</v>
      </c>
      <c r="E116" s="3" t="s">
        <v>45</v>
      </c>
      <c r="F116" s="4">
        <v>7708.4212500000003</v>
      </c>
    </row>
    <row r="117" spans="1:6" x14ac:dyDescent="0.3">
      <c r="A117" t="s">
        <v>111</v>
      </c>
      <c r="B117" s="3" t="s">
        <v>112</v>
      </c>
      <c r="C117" s="3" t="s">
        <v>7</v>
      </c>
      <c r="D117" s="3" t="s">
        <v>12</v>
      </c>
      <c r="E117" s="3" t="s">
        <v>55</v>
      </c>
      <c r="F117" s="4">
        <v>4209.840687500001</v>
      </c>
    </row>
    <row r="118" spans="1:6" x14ac:dyDescent="0.3">
      <c r="A118" t="s">
        <v>113</v>
      </c>
      <c r="B118" s="3" t="s">
        <v>112</v>
      </c>
      <c r="C118" s="3" t="s">
        <v>7</v>
      </c>
      <c r="D118" s="3" t="s">
        <v>14</v>
      </c>
      <c r="E118" s="3" t="s">
        <v>50</v>
      </c>
      <c r="F118" s="4">
        <v>28000</v>
      </c>
    </row>
    <row r="119" spans="1:6" x14ac:dyDescent="0.3">
      <c r="A119" t="s">
        <v>114</v>
      </c>
      <c r="B119" s="3" t="s">
        <v>112</v>
      </c>
      <c r="C119" s="3" t="s">
        <v>7</v>
      </c>
      <c r="D119" s="3" t="s">
        <v>18</v>
      </c>
      <c r="E119" s="3" t="s">
        <v>43</v>
      </c>
      <c r="F119" s="4">
        <v>20205.745750000002</v>
      </c>
    </row>
    <row r="120" spans="1:6" x14ac:dyDescent="0.3">
      <c r="A120" t="s">
        <v>115</v>
      </c>
      <c r="B120" s="3" t="s">
        <v>112</v>
      </c>
      <c r="C120" s="3" t="s">
        <v>7</v>
      </c>
      <c r="D120" s="3" t="s">
        <v>22</v>
      </c>
      <c r="E120" s="3" t="s">
        <v>39</v>
      </c>
      <c r="F120" s="4">
        <v>9022.9491249999992</v>
      </c>
    </row>
    <row r="121" spans="1:6" x14ac:dyDescent="0.3">
      <c r="A121" t="s">
        <v>116</v>
      </c>
      <c r="B121" s="3" t="s">
        <v>112</v>
      </c>
      <c r="C121" s="3" t="s">
        <v>7</v>
      </c>
      <c r="D121" s="3" t="s">
        <v>16</v>
      </c>
      <c r="E121" s="3" t="s">
        <v>47</v>
      </c>
      <c r="F121" s="4">
        <v>1917.7956249999997</v>
      </c>
    </row>
    <row r="122" spans="1:6" x14ac:dyDescent="0.3">
      <c r="A122" t="s">
        <v>117</v>
      </c>
      <c r="B122" s="3" t="s">
        <v>112</v>
      </c>
      <c r="C122" s="3" t="s">
        <v>7</v>
      </c>
      <c r="D122" s="3" t="s">
        <v>22</v>
      </c>
      <c r="E122" s="3" t="s">
        <v>39</v>
      </c>
      <c r="F122" s="4">
        <v>13234.651750000001</v>
      </c>
    </row>
    <row r="123" spans="1:6" x14ac:dyDescent="0.3">
      <c r="A123" t="s">
        <v>118</v>
      </c>
      <c r="B123" s="3" t="s">
        <v>112</v>
      </c>
      <c r="C123" s="3" t="s">
        <v>7</v>
      </c>
      <c r="D123" s="3" t="s">
        <v>14</v>
      </c>
      <c r="E123" s="3" t="s">
        <v>50</v>
      </c>
      <c r="F123" s="4">
        <v>1000</v>
      </c>
    </row>
    <row r="124" spans="1:6" x14ac:dyDescent="0.3">
      <c r="A124" t="s">
        <v>119</v>
      </c>
      <c r="B124" s="3" t="s">
        <v>112</v>
      </c>
      <c r="C124" s="3" t="s">
        <v>7</v>
      </c>
      <c r="D124" s="3" t="s">
        <v>18</v>
      </c>
      <c r="E124" s="3" t="s">
        <v>43</v>
      </c>
      <c r="F124" s="4">
        <v>8002.6073749999996</v>
      </c>
    </row>
    <row r="125" spans="1:6" x14ac:dyDescent="0.3">
      <c r="A125" t="s">
        <v>120</v>
      </c>
      <c r="B125" s="3" t="s">
        <v>121</v>
      </c>
      <c r="C125" s="3" t="s">
        <v>7</v>
      </c>
      <c r="D125" s="3" t="s">
        <v>8</v>
      </c>
      <c r="E125" s="3" t="s">
        <v>41</v>
      </c>
      <c r="F125" s="4">
        <v>3131.778875</v>
      </c>
    </row>
    <row r="126" spans="1:6" x14ac:dyDescent="0.3">
      <c r="A126" t="s">
        <v>122</v>
      </c>
      <c r="B126" s="3" t="s">
        <v>121</v>
      </c>
      <c r="C126" s="3" t="s">
        <v>7</v>
      </c>
      <c r="D126" s="3" t="s">
        <v>16</v>
      </c>
      <c r="E126" s="3" t="s">
        <v>47</v>
      </c>
      <c r="F126" s="4">
        <v>4209.840687500001</v>
      </c>
    </row>
    <row r="127" spans="1:6" x14ac:dyDescent="0.3">
      <c r="A127" t="s">
        <v>122</v>
      </c>
      <c r="B127" s="3" t="s">
        <v>121</v>
      </c>
      <c r="C127" s="3" t="s">
        <v>7</v>
      </c>
      <c r="D127" s="3" t="s">
        <v>12</v>
      </c>
      <c r="E127" s="3" t="s">
        <v>55</v>
      </c>
      <c r="F127" s="4">
        <v>7522.2275000000009</v>
      </c>
    </row>
    <row r="128" spans="1:6" x14ac:dyDescent="0.3">
      <c r="A128" t="s">
        <v>122</v>
      </c>
      <c r="B128" s="3" t="s">
        <v>121</v>
      </c>
      <c r="C128" s="3" t="s">
        <v>7</v>
      </c>
      <c r="D128" s="3" t="s">
        <v>10</v>
      </c>
      <c r="E128" s="3" t="s">
        <v>45</v>
      </c>
      <c r="F128" s="4">
        <v>9164.4563749999998</v>
      </c>
    </row>
    <row r="129" spans="1:6" x14ac:dyDescent="0.3">
      <c r="A129" t="s">
        <v>122</v>
      </c>
      <c r="B129" s="3" t="s">
        <v>121</v>
      </c>
      <c r="C129" s="3" t="s">
        <v>7</v>
      </c>
      <c r="D129" s="3" t="s">
        <v>14</v>
      </c>
      <c r="E129" s="3" t="s">
        <v>50</v>
      </c>
      <c r="F129" s="4">
        <v>29000</v>
      </c>
    </row>
    <row r="130" spans="1:6" x14ac:dyDescent="0.3">
      <c r="A130" t="s">
        <v>123</v>
      </c>
      <c r="B130" s="3" t="s">
        <v>121</v>
      </c>
      <c r="C130" s="3" t="s">
        <v>7</v>
      </c>
      <c r="D130" s="3" t="s">
        <v>18</v>
      </c>
      <c r="E130" s="3" t="s">
        <v>43</v>
      </c>
      <c r="F130" s="4">
        <v>8639.39</v>
      </c>
    </row>
    <row r="131" spans="1:6" x14ac:dyDescent="0.3">
      <c r="A131" t="s">
        <v>124</v>
      </c>
      <c r="B131" s="3" t="s">
        <v>121</v>
      </c>
      <c r="C131" s="3" t="s">
        <v>7</v>
      </c>
      <c r="D131" s="3" t="s">
        <v>22</v>
      </c>
      <c r="E131" s="3" t="s">
        <v>39</v>
      </c>
      <c r="F131" s="4">
        <v>10721.036125000001</v>
      </c>
    </row>
    <row r="132" spans="1:6" x14ac:dyDescent="0.3">
      <c r="A132" t="s">
        <v>125</v>
      </c>
      <c r="B132" s="3" t="s">
        <v>121</v>
      </c>
      <c r="C132" s="3" t="s">
        <v>7</v>
      </c>
      <c r="D132" s="3" t="s">
        <v>34</v>
      </c>
      <c r="E132" s="3" t="s">
        <v>71</v>
      </c>
      <c r="F132" s="4">
        <v>3932.4120000000007</v>
      </c>
    </row>
    <row r="133" spans="1:6" x14ac:dyDescent="0.3">
      <c r="A133" t="s">
        <v>126</v>
      </c>
      <c r="B133" s="3" t="s">
        <v>121</v>
      </c>
      <c r="C133" s="3" t="s">
        <v>7</v>
      </c>
      <c r="D133" s="3" t="s">
        <v>8</v>
      </c>
      <c r="E133" s="3" t="s">
        <v>41</v>
      </c>
      <c r="F133" s="4">
        <v>9914.8171875000007</v>
      </c>
    </row>
    <row r="134" spans="1:6" x14ac:dyDescent="0.3">
      <c r="A134" t="s">
        <v>127</v>
      </c>
      <c r="B134" s="3" t="s">
        <v>121</v>
      </c>
      <c r="C134" s="3" t="s">
        <v>7</v>
      </c>
      <c r="D134" s="3" t="s">
        <v>34</v>
      </c>
      <c r="E134" s="3" t="s">
        <v>71</v>
      </c>
      <c r="F134" s="4">
        <v>2048.1312499999999</v>
      </c>
    </row>
    <row r="135" spans="1:6" x14ac:dyDescent="0.3">
      <c r="A135" t="s">
        <v>120</v>
      </c>
      <c r="B135" s="3" t="s">
        <v>121</v>
      </c>
      <c r="C135" s="3" t="s">
        <v>7</v>
      </c>
      <c r="D135" s="3" t="s">
        <v>8</v>
      </c>
      <c r="E135" s="3" t="s">
        <v>41</v>
      </c>
      <c r="F135" s="4">
        <v>9412.0940625000003</v>
      </c>
    </row>
    <row r="136" spans="1:6" x14ac:dyDescent="0.3">
      <c r="A136" t="s">
        <v>128</v>
      </c>
      <c r="B136" s="3" t="s">
        <v>129</v>
      </c>
      <c r="C136" s="3" t="s">
        <v>7</v>
      </c>
      <c r="D136" s="3" t="s">
        <v>34</v>
      </c>
      <c r="E136" s="3" t="s">
        <v>71</v>
      </c>
      <c r="F136" s="4">
        <v>6673.1840000000011</v>
      </c>
    </row>
    <row r="137" spans="1:6" x14ac:dyDescent="0.3">
      <c r="A137" t="s">
        <v>130</v>
      </c>
      <c r="B137" s="3" t="s">
        <v>129</v>
      </c>
      <c r="C137" s="3" t="s">
        <v>7</v>
      </c>
      <c r="D137" s="3" t="s">
        <v>18</v>
      </c>
      <c r="E137" s="3" t="s">
        <v>43</v>
      </c>
      <c r="F137" s="4">
        <v>13041.010250000001</v>
      </c>
    </row>
    <row r="138" spans="1:6" x14ac:dyDescent="0.3">
      <c r="A138" t="s">
        <v>131</v>
      </c>
      <c r="B138" s="3" t="s">
        <v>129</v>
      </c>
      <c r="C138" s="3" t="s">
        <v>7</v>
      </c>
      <c r="D138" s="3" t="s">
        <v>12</v>
      </c>
      <c r="E138" s="3" t="s">
        <v>55</v>
      </c>
      <c r="F138" s="4">
        <v>5455.4768750000003</v>
      </c>
    </row>
    <row r="139" spans="1:6" x14ac:dyDescent="0.3">
      <c r="A139" t="s">
        <v>132</v>
      </c>
      <c r="B139" s="3" t="s">
        <v>129</v>
      </c>
      <c r="C139" s="3" t="s">
        <v>7</v>
      </c>
      <c r="D139" s="3" t="s">
        <v>16</v>
      </c>
      <c r="E139" s="3" t="s">
        <v>47</v>
      </c>
      <c r="F139" s="4">
        <v>4410.9299375000001</v>
      </c>
    </row>
    <row r="140" spans="1:6" x14ac:dyDescent="0.3">
      <c r="A140" t="s">
        <v>133</v>
      </c>
      <c r="B140" s="3" t="s">
        <v>129</v>
      </c>
      <c r="C140" s="3" t="s">
        <v>7</v>
      </c>
      <c r="D140" s="3" t="s">
        <v>16</v>
      </c>
      <c r="E140" s="3" t="s">
        <v>47</v>
      </c>
      <c r="F140" s="4">
        <v>6775.5905625000014</v>
      </c>
    </row>
    <row r="141" spans="1:6" x14ac:dyDescent="0.3">
      <c r="A141" t="s">
        <v>134</v>
      </c>
      <c r="B141" s="3" t="s">
        <v>129</v>
      </c>
      <c r="C141" s="3" t="s">
        <v>7</v>
      </c>
      <c r="D141" s="3" t="s">
        <v>18</v>
      </c>
      <c r="E141" s="3" t="s">
        <v>43</v>
      </c>
      <c r="F141" s="4">
        <v>25005.820625</v>
      </c>
    </row>
    <row r="142" spans="1:6" x14ac:dyDescent="0.3">
      <c r="A142" s="2">
        <v>46726</v>
      </c>
      <c r="B142" s="3" t="s">
        <v>129</v>
      </c>
      <c r="C142" s="3" t="s">
        <v>7</v>
      </c>
      <c r="D142" s="3" t="s">
        <v>14</v>
      </c>
      <c r="E142" s="3" t="s">
        <v>50</v>
      </c>
      <c r="F142" s="4">
        <v>29000</v>
      </c>
    </row>
    <row r="143" spans="1:6" x14ac:dyDescent="0.3">
      <c r="A143" t="s">
        <v>131</v>
      </c>
      <c r="B143" s="3" t="s">
        <v>129</v>
      </c>
      <c r="C143" s="3" t="s">
        <v>7</v>
      </c>
      <c r="D143" s="3" t="s">
        <v>10</v>
      </c>
      <c r="E143" s="3" t="s">
        <v>45</v>
      </c>
      <c r="F143" s="4">
        <v>6000</v>
      </c>
    </row>
    <row r="144" spans="1:6" x14ac:dyDescent="0.3">
      <c r="A144" t="s">
        <v>135</v>
      </c>
      <c r="B144" s="3" t="s">
        <v>129</v>
      </c>
      <c r="C144" s="3" t="s">
        <v>7</v>
      </c>
      <c r="D144" s="3" t="s">
        <v>10</v>
      </c>
      <c r="E144" s="3" t="s">
        <v>45</v>
      </c>
      <c r="F144" s="4">
        <v>16768.609125000003</v>
      </c>
    </row>
    <row r="145" spans="1:6" x14ac:dyDescent="0.3">
      <c r="A145" s="2">
        <v>46023</v>
      </c>
      <c r="B145" s="3" t="s">
        <v>6</v>
      </c>
      <c r="C145" s="3" t="s">
        <v>136</v>
      </c>
      <c r="D145" s="3" t="s">
        <v>137</v>
      </c>
      <c r="E145" s="3" t="s">
        <v>138</v>
      </c>
      <c r="F145" s="4">
        <v>25600</v>
      </c>
    </row>
    <row r="146" spans="1:6" x14ac:dyDescent="0.3">
      <c r="A146" s="2">
        <v>46024</v>
      </c>
      <c r="B146" s="3" t="s">
        <v>6</v>
      </c>
      <c r="C146" s="3" t="s">
        <v>136</v>
      </c>
      <c r="D146" s="3" t="s">
        <v>139</v>
      </c>
      <c r="E146" s="3" t="s">
        <v>140</v>
      </c>
      <c r="F146" s="4">
        <v>768</v>
      </c>
    </row>
    <row r="147" spans="1:6" x14ac:dyDescent="0.3">
      <c r="A147" s="2">
        <v>46026</v>
      </c>
      <c r="B147" s="3" t="s">
        <v>6</v>
      </c>
      <c r="C147" s="3" t="s">
        <v>136</v>
      </c>
      <c r="D147" s="3" t="s">
        <v>141</v>
      </c>
      <c r="E147" s="3" t="s">
        <v>142</v>
      </c>
      <c r="F147" s="4">
        <v>768</v>
      </c>
    </row>
    <row r="148" spans="1:6" x14ac:dyDescent="0.3">
      <c r="A148" s="2">
        <v>46027</v>
      </c>
      <c r="B148" s="3" t="s">
        <v>6</v>
      </c>
      <c r="C148" s="3" t="s">
        <v>136</v>
      </c>
      <c r="D148" s="3" t="s">
        <v>139</v>
      </c>
      <c r="E148" s="3" t="s">
        <v>143</v>
      </c>
      <c r="F148" s="4">
        <v>4608</v>
      </c>
    </row>
    <row r="149" spans="1:6" x14ac:dyDescent="0.3">
      <c r="A149" s="2">
        <v>46030</v>
      </c>
      <c r="B149" s="3" t="s">
        <v>6</v>
      </c>
      <c r="C149" s="3" t="s">
        <v>136</v>
      </c>
      <c r="D149" s="3" t="s">
        <v>144</v>
      </c>
      <c r="E149" s="3" t="s">
        <v>138</v>
      </c>
      <c r="F149" s="4">
        <v>1500</v>
      </c>
    </row>
    <row r="150" spans="1:6" x14ac:dyDescent="0.3">
      <c r="A150" s="2">
        <v>46031</v>
      </c>
      <c r="B150" s="3" t="s">
        <v>6</v>
      </c>
      <c r="C150" s="3" t="s">
        <v>136</v>
      </c>
      <c r="D150" s="3" t="s">
        <v>139</v>
      </c>
      <c r="E150" s="3" t="s">
        <v>145</v>
      </c>
      <c r="F150" s="4">
        <v>3072</v>
      </c>
    </row>
    <row r="151" spans="1:6" x14ac:dyDescent="0.3">
      <c r="A151" s="2">
        <v>46032</v>
      </c>
      <c r="B151" s="3" t="s">
        <v>6</v>
      </c>
      <c r="C151" s="3" t="s">
        <v>136</v>
      </c>
      <c r="D151" s="3" t="s">
        <v>146</v>
      </c>
      <c r="E151" s="3" t="s">
        <v>147</v>
      </c>
      <c r="F151" s="4">
        <v>1344</v>
      </c>
    </row>
    <row r="152" spans="1:6" x14ac:dyDescent="0.3">
      <c r="A152" s="2">
        <v>46034</v>
      </c>
      <c r="B152" s="3" t="s">
        <v>6</v>
      </c>
      <c r="C152" s="3" t="s">
        <v>136</v>
      </c>
      <c r="D152" s="3" t="s">
        <v>139</v>
      </c>
      <c r="E152" s="3" t="s">
        <v>148</v>
      </c>
      <c r="F152" s="4">
        <v>3584</v>
      </c>
    </row>
    <row r="153" spans="1:6" x14ac:dyDescent="0.3">
      <c r="A153" s="2">
        <v>46035</v>
      </c>
      <c r="B153" s="3" t="s">
        <v>6</v>
      </c>
      <c r="C153" s="3" t="s">
        <v>136</v>
      </c>
      <c r="D153" s="3" t="s">
        <v>149</v>
      </c>
      <c r="E153" s="3" t="s">
        <v>138</v>
      </c>
      <c r="F153" s="4">
        <v>1920</v>
      </c>
    </row>
    <row r="154" spans="1:6" x14ac:dyDescent="0.3">
      <c r="A154" s="2">
        <v>46037</v>
      </c>
      <c r="B154" s="3" t="s">
        <v>6</v>
      </c>
      <c r="C154" s="3" t="s">
        <v>136</v>
      </c>
      <c r="D154" s="3" t="s">
        <v>139</v>
      </c>
      <c r="E154" s="3" t="s">
        <v>150</v>
      </c>
      <c r="F154" s="4">
        <v>3904</v>
      </c>
    </row>
    <row r="155" spans="1:6" x14ac:dyDescent="0.3">
      <c r="A155" s="2">
        <v>46038</v>
      </c>
      <c r="B155" s="3" t="s">
        <v>6</v>
      </c>
      <c r="C155" s="3" t="s">
        <v>136</v>
      </c>
      <c r="D155" s="3" t="s">
        <v>141</v>
      </c>
      <c r="E155" s="3" t="s">
        <v>142</v>
      </c>
      <c r="F155" s="4">
        <v>832</v>
      </c>
    </row>
    <row r="156" spans="1:6" x14ac:dyDescent="0.3">
      <c r="A156" s="2">
        <v>46040</v>
      </c>
      <c r="B156" s="3" t="s">
        <v>6</v>
      </c>
      <c r="C156" s="3" t="s">
        <v>136</v>
      </c>
      <c r="D156" s="3" t="s">
        <v>139</v>
      </c>
      <c r="E156" s="3" t="s">
        <v>151</v>
      </c>
      <c r="F156" s="4">
        <v>3200</v>
      </c>
    </row>
    <row r="157" spans="1:6" x14ac:dyDescent="0.3">
      <c r="A157" s="2">
        <v>46041</v>
      </c>
      <c r="B157" s="3" t="s">
        <v>6</v>
      </c>
      <c r="C157" s="3" t="s">
        <v>136</v>
      </c>
      <c r="D157" s="3" t="s">
        <v>137</v>
      </c>
      <c r="E157" s="3" t="s">
        <v>138</v>
      </c>
      <c r="F157" s="4">
        <v>25600</v>
      </c>
    </row>
    <row r="158" spans="1:6" x14ac:dyDescent="0.3">
      <c r="A158" s="2">
        <v>46042</v>
      </c>
      <c r="B158" s="3" t="s">
        <v>6</v>
      </c>
      <c r="C158" s="3" t="s">
        <v>136</v>
      </c>
      <c r="D158" s="3" t="s">
        <v>152</v>
      </c>
      <c r="E158" s="3" t="s">
        <v>146</v>
      </c>
      <c r="F158" s="4">
        <v>2240</v>
      </c>
    </row>
    <row r="159" spans="1:6" x14ac:dyDescent="0.3">
      <c r="A159" s="2">
        <v>46044</v>
      </c>
      <c r="B159" s="3" t="s">
        <v>6</v>
      </c>
      <c r="C159" s="3" t="s">
        <v>136</v>
      </c>
      <c r="D159" s="3" t="s">
        <v>139</v>
      </c>
      <c r="E159" s="3" t="s">
        <v>153</v>
      </c>
      <c r="F159" s="4">
        <v>3712</v>
      </c>
    </row>
    <row r="160" spans="1:6" x14ac:dyDescent="0.3">
      <c r="A160" s="2">
        <v>46047</v>
      </c>
      <c r="B160" s="3" t="s">
        <v>6</v>
      </c>
      <c r="C160" s="3" t="s">
        <v>136</v>
      </c>
      <c r="D160" s="3" t="s">
        <v>139</v>
      </c>
      <c r="E160" s="3" t="s">
        <v>154</v>
      </c>
      <c r="F160" s="4">
        <v>200</v>
      </c>
    </row>
    <row r="161" spans="1:6" x14ac:dyDescent="0.3">
      <c r="A161" s="2">
        <v>46048</v>
      </c>
      <c r="B161" s="3" t="s">
        <v>6</v>
      </c>
      <c r="C161" s="3" t="s">
        <v>136</v>
      </c>
      <c r="D161" s="3" t="s">
        <v>141</v>
      </c>
      <c r="E161" s="3" t="s">
        <v>142</v>
      </c>
      <c r="F161" s="4">
        <v>896</v>
      </c>
    </row>
    <row r="162" spans="1:6" x14ac:dyDescent="0.3">
      <c r="A162" s="2">
        <v>46049</v>
      </c>
      <c r="B162" s="3" t="s">
        <v>6</v>
      </c>
      <c r="C162" s="3" t="s">
        <v>136</v>
      </c>
      <c r="D162" s="3" t="s">
        <v>144</v>
      </c>
      <c r="E162" s="3" t="s">
        <v>138</v>
      </c>
      <c r="F162" s="4">
        <v>5760</v>
      </c>
    </row>
    <row r="163" spans="1:6" x14ac:dyDescent="0.3">
      <c r="A163" s="2">
        <v>46050</v>
      </c>
      <c r="B163" s="3" t="s">
        <v>6</v>
      </c>
      <c r="C163" s="3" t="s">
        <v>136</v>
      </c>
      <c r="D163" s="3" t="s">
        <v>139</v>
      </c>
      <c r="E163" s="3" t="s">
        <v>150</v>
      </c>
      <c r="F163" s="4">
        <v>3968</v>
      </c>
    </row>
    <row r="164" spans="1:6" x14ac:dyDescent="0.3">
      <c r="A164" s="2">
        <v>46053</v>
      </c>
      <c r="B164" s="3" t="s">
        <v>6</v>
      </c>
      <c r="C164" s="3" t="s">
        <v>136</v>
      </c>
      <c r="D164" s="3" t="s">
        <v>155</v>
      </c>
      <c r="E164" s="3" t="s">
        <v>146</v>
      </c>
      <c r="F164" s="4">
        <v>1000</v>
      </c>
    </row>
    <row r="165" spans="1:6" x14ac:dyDescent="0.3">
      <c r="A165" s="2">
        <v>46053</v>
      </c>
      <c r="B165" s="3" t="s">
        <v>6</v>
      </c>
      <c r="C165" s="3" t="s">
        <v>136</v>
      </c>
      <c r="D165" s="3" t="s">
        <v>139</v>
      </c>
      <c r="E165" s="3" t="s">
        <v>156</v>
      </c>
      <c r="F165" s="4">
        <v>4672</v>
      </c>
    </row>
    <row r="166" spans="1:6" x14ac:dyDescent="0.3">
      <c r="A166" t="s">
        <v>157</v>
      </c>
      <c r="B166" s="3" t="s">
        <v>38</v>
      </c>
      <c r="C166" s="3" t="s">
        <v>136</v>
      </c>
      <c r="D166" s="3" t="s">
        <v>137</v>
      </c>
      <c r="E166" s="3" t="s">
        <v>138</v>
      </c>
      <c r="F166" s="4">
        <v>50000</v>
      </c>
    </row>
    <row r="167" spans="1:6" x14ac:dyDescent="0.3">
      <c r="A167" t="s">
        <v>158</v>
      </c>
      <c r="B167" s="3" t="s">
        <v>38</v>
      </c>
      <c r="C167" s="3" t="s">
        <v>136</v>
      </c>
      <c r="D167" s="3" t="s">
        <v>139</v>
      </c>
      <c r="E167" s="3" t="s">
        <v>140</v>
      </c>
      <c r="F167" s="4">
        <v>200</v>
      </c>
    </row>
    <row r="168" spans="1:6" x14ac:dyDescent="0.3">
      <c r="A168" t="s">
        <v>46</v>
      </c>
      <c r="B168" s="3" t="s">
        <v>38</v>
      </c>
      <c r="C168" s="3" t="s">
        <v>136</v>
      </c>
      <c r="D168" s="3" t="s">
        <v>141</v>
      </c>
      <c r="E168" s="3" t="s">
        <v>142</v>
      </c>
      <c r="F168" s="4">
        <v>768</v>
      </c>
    </row>
    <row r="169" spans="1:6" x14ac:dyDescent="0.3">
      <c r="A169" t="s">
        <v>48</v>
      </c>
      <c r="B169" s="3" t="s">
        <v>38</v>
      </c>
      <c r="C169" s="3" t="s">
        <v>136</v>
      </c>
      <c r="D169" s="3" t="s">
        <v>139</v>
      </c>
      <c r="E169" s="3" t="s">
        <v>143</v>
      </c>
      <c r="F169" s="4">
        <v>4608</v>
      </c>
    </row>
    <row r="170" spans="1:6" x14ac:dyDescent="0.3">
      <c r="A170" t="s">
        <v>159</v>
      </c>
      <c r="B170" s="3" t="s">
        <v>38</v>
      </c>
      <c r="C170" s="3" t="s">
        <v>136</v>
      </c>
      <c r="D170" s="3" t="s">
        <v>144</v>
      </c>
      <c r="E170" s="3" t="s">
        <v>138</v>
      </c>
      <c r="F170" s="4">
        <v>500</v>
      </c>
    </row>
    <row r="171" spans="1:6" x14ac:dyDescent="0.3">
      <c r="A171" t="s">
        <v>160</v>
      </c>
      <c r="B171" s="3" t="s">
        <v>38</v>
      </c>
      <c r="C171" s="3" t="s">
        <v>136</v>
      </c>
      <c r="D171" s="3" t="s">
        <v>139</v>
      </c>
      <c r="E171" s="3" t="s">
        <v>145</v>
      </c>
      <c r="F171" s="4">
        <v>3072</v>
      </c>
    </row>
    <row r="172" spans="1:6" x14ac:dyDescent="0.3">
      <c r="A172" t="s">
        <v>161</v>
      </c>
      <c r="B172" s="3" t="s">
        <v>38</v>
      </c>
      <c r="C172" s="3" t="s">
        <v>136</v>
      </c>
      <c r="D172" s="3" t="s">
        <v>146</v>
      </c>
      <c r="E172" s="3" t="s">
        <v>146</v>
      </c>
      <c r="F172" s="4">
        <v>1344</v>
      </c>
    </row>
    <row r="173" spans="1:6" x14ac:dyDescent="0.3">
      <c r="A173" t="s">
        <v>162</v>
      </c>
      <c r="B173" s="3" t="s">
        <v>38</v>
      </c>
      <c r="C173" s="3" t="s">
        <v>136</v>
      </c>
      <c r="D173" s="3" t="s">
        <v>139</v>
      </c>
      <c r="E173" s="3" t="s">
        <v>148</v>
      </c>
      <c r="F173" s="4">
        <v>200</v>
      </c>
    </row>
    <row r="174" spans="1:6" x14ac:dyDescent="0.3">
      <c r="A174" t="s">
        <v>40</v>
      </c>
      <c r="B174" s="3" t="s">
        <v>38</v>
      </c>
      <c r="C174" s="3" t="s">
        <v>136</v>
      </c>
      <c r="D174" s="3" t="s">
        <v>149</v>
      </c>
      <c r="E174" s="3" t="s">
        <v>138</v>
      </c>
      <c r="F174" s="4">
        <v>1920</v>
      </c>
    </row>
    <row r="175" spans="1:6" x14ac:dyDescent="0.3">
      <c r="A175" t="s">
        <v>163</v>
      </c>
      <c r="B175" s="3" t="s">
        <v>38</v>
      </c>
      <c r="C175" s="3" t="s">
        <v>136</v>
      </c>
      <c r="D175" s="3" t="s">
        <v>139</v>
      </c>
      <c r="E175" s="3" t="s">
        <v>150</v>
      </c>
      <c r="F175" s="4">
        <v>3904</v>
      </c>
    </row>
    <row r="176" spans="1:6" x14ac:dyDescent="0.3">
      <c r="A176" t="s">
        <v>164</v>
      </c>
      <c r="B176" s="3" t="s">
        <v>38</v>
      </c>
      <c r="C176" s="3" t="s">
        <v>136</v>
      </c>
      <c r="D176" s="3" t="s">
        <v>141</v>
      </c>
      <c r="E176" s="3" t="s">
        <v>142</v>
      </c>
      <c r="F176" s="4">
        <v>832</v>
      </c>
    </row>
    <row r="177" spans="1:6" x14ac:dyDescent="0.3">
      <c r="A177" t="s">
        <v>165</v>
      </c>
      <c r="B177" s="3" t="s">
        <v>38</v>
      </c>
      <c r="C177" s="3" t="s">
        <v>136</v>
      </c>
      <c r="D177" s="3" t="s">
        <v>139</v>
      </c>
      <c r="E177" s="3" t="s">
        <v>151</v>
      </c>
      <c r="F177" s="4">
        <v>3200</v>
      </c>
    </row>
    <row r="178" spans="1:6" x14ac:dyDescent="0.3">
      <c r="A178" t="s">
        <v>166</v>
      </c>
      <c r="B178" s="3" t="s">
        <v>38</v>
      </c>
      <c r="C178" s="3" t="s">
        <v>136</v>
      </c>
      <c r="D178" s="3" t="s">
        <v>152</v>
      </c>
      <c r="E178" s="3" t="s">
        <v>146</v>
      </c>
      <c r="F178" s="4">
        <v>2240</v>
      </c>
    </row>
    <row r="179" spans="1:6" x14ac:dyDescent="0.3">
      <c r="A179" t="s">
        <v>167</v>
      </c>
      <c r="B179" s="3" t="s">
        <v>38</v>
      </c>
      <c r="C179" s="3" t="s">
        <v>136</v>
      </c>
      <c r="D179" s="3" t="s">
        <v>139</v>
      </c>
      <c r="E179" s="3" t="s">
        <v>153</v>
      </c>
      <c r="F179" s="4">
        <v>200</v>
      </c>
    </row>
    <row r="180" spans="1:6" x14ac:dyDescent="0.3">
      <c r="A180" t="s">
        <v>168</v>
      </c>
      <c r="B180" s="3" t="s">
        <v>38</v>
      </c>
      <c r="C180" s="3" t="s">
        <v>136</v>
      </c>
      <c r="D180" s="3" t="s">
        <v>139</v>
      </c>
      <c r="E180" s="3" t="s">
        <v>154</v>
      </c>
      <c r="F180" s="4">
        <v>200</v>
      </c>
    </row>
    <row r="181" spans="1:6" x14ac:dyDescent="0.3">
      <c r="A181" t="s">
        <v>169</v>
      </c>
      <c r="B181" s="3" t="s">
        <v>38</v>
      </c>
      <c r="C181" s="3" t="s">
        <v>136</v>
      </c>
      <c r="D181" s="3" t="s">
        <v>155</v>
      </c>
      <c r="E181" s="3" t="s">
        <v>146</v>
      </c>
      <c r="F181" s="4">
        <v>1600</v>
      </c>
    </row>
    <row r="182" spans="1:6" x14ac:dyDescent="0.3">
      <c r="A182" t="s">
        <v>170</v>
      </c>
      <c r="B182" s="3" t="s">
        <v>38</v>
      </c>
      <c r="C182" s="3" t="s">
        <v>136</v>
      </c>
      <c r="D182" s="3" t="s">
        <v>137</v>
      </c>
      <c r="E182" s="3" t="s">
        <v>138</v>
      </c>
      <c r="F182" s="4">
        <v>1200</v>
      </c>
    </row>
    <row r="183" spans="1:6" x14ac:dyDescent="0.3">
      <c r="A183" t="s">
        <v>171</v>
      </c>
      <c r="B183" s="3" t="s">
        <v>38</v>
      </c>
      <c r="C183" s="3" t="s">
        <v>136</v>
      </c>
      <c r="D183" s="3" t="s">
        <v>139</v>
      </c>
      <c r="E183" s="3" t="s">
        <v>140</v>
      </c>
      <c r="F183" s="4">
        <v>200</v>
      </c>
    </row>
    <row r="184" spans="1:6" x14ac:dyDescent="0.3">
      <c r="A184" t="s">
        <v>172</v>
      </c>
      <c r="B184" s="3" t="s">
        <v>38</v>
      </c>
      <c r="C184" s="3" t="s">
        <v>136</v>
      </c>
      <c r="D184" s="3" t="s">
        <v>141</v>
      </c>
      <c r="E184" s="3" t="s">
        <v>142</v>
      </c>
      <c r="F184" s="4">
        <v>768</v>
      </c>
    </row>
    <row r="185" spans="1:6" x14ac:dyDescent="0.3">
      <c r="A185" t="s">
        <v>44</v>
      </c>
      <c r="B185" s="3" t="s">
        <v>38</v>
      </c>
      <c r="C185" s="3" t="s">
        <v>136</v>
      </c>
      <c r="D185" s="3" t="s">
        <v>139</v>
      </c>
      <c r="E185" s="3" t="s">
        <v>143</v>
      </c>
      <c r="F185" s="4">
        <v>200</v>
      </c>
    </row>
    <row r="186" spans="1:6" x14ac:dyDescent="0.3">
      <c r="A186" t="s">
        <v>173</v>
      </c>
      <c r="B186" s="3" t="s">
        <v>38</v>
      </c>
      <c r="C186" s="3" t="s">
        <v>136</v>
      </c>
      <c r="D186" s="3" t="s">
        <v>144</v>
      </c>
      <c r="E186" s="3" t="s">
        <v>138</v>
      </c>
      <c r="F186" s="4">
        <v>3000</v>
      </c>
    </row>
    <row r="187" spans="1:6" x14ac:dyDescent="0.3">
      <c r="A187" t="s">
        <v>42</v>
      </c>
      <c r="B187" s="3" t="s">
        <v>38</v>
      </c>
      <c r="C187" s="3" t="s">
        <v>136</v>
      </c>
      <c r="D187" s="3" t="s">
        <v>139</v>
      </c>
      <c r="E187" s="3" t="s">
        <v>145</v>
      </c>
      <c r="F187" s="4">
        <v>200</v>
      </c>
    </row>
    <row r="188" spans="1:6" x14ac:dyDescent="0.3">
      <c r="A188" t="s">
        <v>174</v>
      </c>
      <c r="B188" s="3" t="s">
        <v>38</v>
      </c>
      <c r="C188" s="3" t="s">
        <v>136</v>
      </c>
      <c r="D188" s="3" t="s">
        <v>146</v>
      </c>
      <c r="E188" s="3" t="s">
        <v>146</v>
      </c>
      <c r="F188" s="4">
        <v>1344</v>
      </c>
    </row>
    <row r="189" spans="1:6" x14ac:dyDescent="0.3">
      <c r="A189" t="s">
        <v>49</v>
      </c>
      <c r="B189" s="3" t="s">
        <v>38</v>
      </c>
      <c r="C189" s="3" t="s">
        <v>136</v>
      </c>
      <c r="D189" s="3" t="s">
        <v>139</v>
      </c>
      <c r="E189" s="3" t="s">
        <v>148</v>
      </c>
      <c r="F189" s="4">
        <v>200</v>
      </c>
    </row>
    <row r="190" spans="1:6" x14ac:dyDescent="0.3">
      <c r="A190" t="s">
        <v>175</v>
      </c>
      <c r="B190" s="3" t="s">
        <v>38</v>
      </c>
      <c r="C190" s="3" t="s">
        <v>136</v>
      </c>
      <c r="D190" s="3" t="s">
        <v>149</v>
      </c>
      <c r="E190" s="3" t="s">
        <v>138</v>
      </c>
      <c r="F190" s="4">
        <v>1920</v>
      </c>
    </row>
    <row r="191" spans="1:6" x14ac:dyDescent="0.3">
      <c r="A191" t="s">
        <v>52</v>
      </c>
      <c r="B191" s="3" t="s">
        <v>38</v>
      </c>
      <c r="C191" s="3" t="s">
        <v>136</v>
      </c>
      <c r="D191" s="3" t="s">
        <v>139</v>
      </c>
      <c r="E191" s="3" t="s">
        <v>150</v>
      </c>
      <c r="F191" s="4">
        <v>200</v>
      </c>
    </row>
    <row r="192" spans="1:6" x14ac:dyDescent="0.3">
      <c r="A192" t="s">
        <v>176</v>
      </c>
      <c r="B192" s="3" t="s">
        <v>38</v>
      </c>
      <c r="C192" s="3" t="s">
        <v>136</v>
      </c>
      <c r="D192" s="3" t="s">
        <v>141</v>
      </c>
      <c r="E192" s="3" t="s">
        <v>142</v>
      </c>
      <c r="F192" s="4">
        <v>832</v>
      </c>
    </row>
    <row r="193" spans="1:6" x14ac:dyDescent="0.3">
      <c r="A193" t="s">
        <v>51</v>
      </c>
      <c r="B193" s="3" t="s">
        <v>38</v>
      </c>
      <c r="C193" s="3" t="s">
        <v>136</v>
      </c>
      <c r="D193" s="3" t="s">
        <v>139</v>
      </c>
      <c r="E193" s="3" t="s">
        <v>151</v>
      </c>
      <c r="F193" s="4">
        <v>200</v>
      </c>
    </row>
    <row r="194" spans="1:6" x14ac:dyDescent="0.3">
      <c r="A194" t="s">
        <v>177</v>
      </c>
      <c r="B194" s="3" t="s">
        <v>54</v>
      </c>
      <c r="C194" s="3" t="s">
        <v>136</v>
      </c>
      <c r="D194" s="3" t="s">
        <v>137</v>
      </c>
      <c r="E194" s="3" t="s">
        <v>138</v>
      </c>
      <c r="F194" s="4">
        <v>25600</v>
      </c>
    </row>
    <row r="195" spans="1:6" x14ac:dyDescent="0.3">
      <c r="A195" t="s">
        <v>178</v>
      </c>
      <c r="B195" s="3" t="s">
        <v>54</v>
      </c>
      <c r="C195" s="3" t="s">
        <v>136</v>
      </c>
      <c r="D195" s="3" t="s">
        <v>139</v>
      </c>
      <c r="E195" s="3" t="s">
        <v>140</v>
      </c>
      <c r="F195" s="4">
        <v>4160</v>
      </c>
    </row>
    <row r="196" spans="1:6" x14ac:dyDescent="0.3">
      <c r="A196" t="s">
        <v>179</v>
      </c>
      <c r="B196" s="3" t="s">
        <v>54</v>
      </c>
      <c r="C196" s="3" t="s">
        <v>136</v>
      </c>
      <c r="D196" s="3" t="s">
        <v>141</v>
      </c>
      <c r="E196" s="3" t="s">
        <v>142</v>
      </c>
      <c r="F196" s="4">
        <v>10</v>
      </c>
    </row>
    <row r="197" spans="1:6" x14ac:dyDescent="0.3">
      <c r="A197" t="s">
        <v>180</v>
      </c>
      <c r="B197" s="3" t="s">
        <v>54</v>
      </c>
      <c r="C197" s="3" t="s">
        <v>136</v>
      </c>
      <c r="D197" s="3" t="s">
        <v>139</v>
      </c>
      <c r="E197" s="3" t="s">
        <v>143</v>
      </c>
      <c r="F197" s="4">
        <v>4608</v>
      </c>
    </row>
    <row r="198" spans="1:6" x14ac:dyDescent="0.3">
      <c r="A198" t="s">
        <v>181</v>
      </c>
      <c r="B198" s="3" t="s">
        <v>54</v>
      </c>
      <c r="C198" s="3" t="s">
        <v>136</v>
      </c>
      <c r="D198" s="3" t="s">
        <v>144</v>
      </c>
      <c r="E198" s="3" t="s">
        <v>138</v>
      </c>
      <c r="F198" s="4">
        <v>5120</v>
      </c>
    </row>
    <row r="199" spans="1:6" x14ac:dyDescent="0.3">
      <c r="A199" t="s">
        <v>58</v>
      </c>
      <c r="B199" s="3" t="s">
        <v>54</v>
      </c>
      <c r="C199" s="3" t="s">
        <v>136</v>
      </c>
      <c r="D199" s="3" t="s">
        <v>139</v>
      </c>
      <c r="E199" s="3" t="s">
        <v>145</v>
      </c>
      <c r="F199" s="4">
        <v>3072</v>
      </c>
    </row>
    <row r="200" spans="1:6" x14ac:dyDescent="0.3">
      <c r="A200" t="s">
        <v>53</v>
      </c>
      <c r="B200" s="3" t="s">
        <v>54</v>
      </c>
      <c r="C200" s="3" t="s">
        <v>136</v>
      </c>
      <c r="D200" s="3" t="s">
        <v>146</v>
      </c>
      <c r="E200" s="3" t="s">
        <v>146</v>
      </c>
      <c r="F200" s="4">
        <v>100</v>
      </c>
    </row>
    <row r="201" spans="1:6" x14ac:dyDescent="0.3">
      <c r="A201" t="s">
        <v>182</v>
      </c>
      <c r="B201" s="3" t="s">
        <v>54</v>
      </c>
      <c r="C201" s="3" t="s">
        <v>136</v>
      </c>
      <c r="D201" s="3" t="s">
        <v>139</v>
      </c>
      <c r="E201" s="3" t="s">
        <v>148</v>
      </c>
      <c r="F201" s="4">
        <v>3584</v>
      </c>
    </row>
    <row r="202" spans="1:6" x14ac:dyDescent="0.3">
      <c r="A202" t="s">
        <v>183</v>
      </c>
      <c r="B202" s="3" t="s">
        <v>54</v>
      </c>
      <c r="C202" s="3" t="s">
        <v>136</v>
      </c>
      <c r="D202" s="3" t="s">
        <v>149</v>
      </c>
      <c r="E202" s="3" t="s">
        <v>138</v>
      </c>
      <c r="F202" s="4">
        <v>100</v>
      </c>
    </row>
    <row r="203" spans="1:6" x14ac:dyDescent="0.3">
      <c r="A203" t="s">
        <v>184</v>
      </c>
      <c r="B203" s="3" t="s">
        <v>54</v>
      </c>
      <c r="C203" s="3" t="s">
        <v>136</v>
      </c>
      <c r="D203" s="3" t="s">
        <v>139</v>
      </c>
      <c r="E203" s="3" t="s">
        <v>150</v>
      </c>
      <c r="F203" s="4">
        <v>3904</v>
      </c>
    </row>
    <row r="204" spans="1:6" x14ac:dyDescent="0.3">
      <c r="A204" t="s">
        <v>59</v>
      </c>
      <c r="B204" s="3" t="s">
        <v>54</v>
      </c>
      <c r="C204" s="3" t="s">
        <v>136</v>
      </c>
      <c r="D204" s="3" t="s">
        <v>141</v>
      </c>
      <c r="E204" s="3" t="s">
        <v>142</v>
      </c>
      <c r="F204" s="4">
        <v>200</v>
      </c>
    </row>
    <row r="205" spans="1:6" x14ac:dyDescent="0.3">
      <c r="A205" t="s">
        <v>185</v>
      </c>
      <c r="B205" s="3" t="s">
        <v>54</v>
      </c>
      <c r="C205" s="3" t="s">
        <v>136</v>
      </c>
      <c r="D205" s="3" t="s">
        <v>139</v>
      </c>
      <c r="E205" s="3" t="s">
        <v>151</v>
      </c>
      <c r="F205" s="4">
        <v>3200</v>
      </c>
    </row>
    <row r="206" spans="1:6" x14ac:dyDescent="0.3">
      <c r="A206" t="s">
        <v>60</v>
      </c>
      <c r="B206" s="3" t="s">
        <v>54</v>
      </c>
      <c r="C206" s="3" t="s">
        <v>136</v>
      </c>
      <c r="D206" s="3" t="s">
        <v>152</v>
      </c>
      <c r="E206" s="3" t="s">
        <v>146</v>
      </c>
      <c r="F206" s="4">
        <v>2240</v>
      </c>
    </row>
    <row r="207" spans="1:6" x14ac:dyDescent="0.3">
      <c r="A207" t="s">
        <v>186</v>
      </c>
      <c r="B207" s="3" t="s">
        <v>54</v>
      </c>
      <c r="C207" s="3" t="s">
        <v>136</v>
      </c>
      <c r="D207" s="3" t="s">
        <v>139</v>
      </c>
      <c r="E207" s="3" t="s">
        <v>153</v>
      </c>
      <c r="F207" s="4">
        <v>3712</v>
      </c>
    </row>
    <row r="208" spans="1:6" x14ac:dyDescent="0.3">
      <c r="A208" t="s">
        <v>187</v>
      </c>
      <c r="B208" s="3" t="s">
        <v>54</v>
      </c>
      <c r="C208" s="3" t="s">
        <v>136</v>
      </c>
      <c r="D208" s="3" t="s">
        <v>139</v>
      </c>
      <c r="E208" s="3" t="s">
        <v>154</v>
      </c>
      <c r="F208" s="4">
        <v>4416</v>
      </c>
    </row>
    <row r="209" spans="1:6" x14ac:dyDescent="0.3">
      <c r="A209" t="s">
        <v>188</v>
      </c>
      <c r="B209" s="3" t="s">
        <v>54</v>
      </c>
      <c r="C209" s="3" t="s">
        <v>136</v>
      </c>
      <c r="D209" s="3" t="s">
        <v>155</v>
      </c>
      <c r="E209" s="3" t="s">
        <v>146</v>
      </c>
      <c r="F209" s="4">
        <v>2900</v>
      </c>
    </row>
    <row r="210" spans="1:6" x14ac:dyDescent="0.3">
      <c r="A210" t="s">
        <v>56</v>
      </c>
      <c r="B210" s="3" t="s">
        <v>54</v>
      </c>
      <c r="C210" s="3" t="s">
        <v>136</v>
      </c>
      <c r="D210" s="3" t="s">
        <v>137</v>
      </c>
      <c r="E210" s="3" t="s">
        <v>138</v>
      </c>
      <c r="F210" s="4">
        <v>25600</v>
      </c>
    </row>
    <row r="211" spans="1:6" x14ac:dyDescent="0.3">
      <c r="A211" t="s">
        <v>189</v>
      </c>
      <c r="B211" s="3" t="s">
        <v>54</v>
      </c>
      <c r="C211" s="3" t="s">
        <v>136</v>
      </c>
      <c r="D211" s="3" t="s">
        <v>139</v>
      </c>
      <c r="E211" s="3" t="s">
        <v>140</v>
      </c>
      <c r="F211" s="4">
        <v>4160</v>
      </c>
    </row>
    <row r="212" spans="1:6" x14ac:dyDescent="0.3">
      <c r="A212" t="s">
        <v>190</v>
      </c>
      <c r="B212" s="3" t="s">
        <v>54</v>
      </c>
      <c r="C212" s="3" t="s">
        <v>136</v>
      </c>
      <c r="D212" s="3" t="s">
        <v>141</v>
      </c>
      <c r="E212" s="3" t="s">
        <v>142</v>
      </c>
      <c r="F212" s="4">
        <v>768</v>
      </c>
    </row>
    <row r="213" spans="1:6" x14ac:dyDescent="0.3">
      <c r="A213" t="s">
        <v>191</v>
      </c>
      <c r="B213" s="3" t="s">
        <v>54</v>
      </c>
      <c r="C213" s="3" t="s">
        <v>136</v>
      </c>
      <c r="D213" s="3" t="s">
        <v>139</v>
      </c>
      <c r="E213" s="3" t="s">
        <v>143</v>
      </c>
      <c r="F213" s="4">
        <v>4608</v>
      </c>
    </row>
    <row r="214" spans="1:6" x14ac:dyDescent="0.3">
      <c r="A214" t="s">
        <v>192</v>
      </c>
      <c r="B214" s="3" t="s">
        <v>54</v>
      </c>
      <c r="C214" s="3" t="s">
        <v>136</v>
      </c>
      <c r="D214" s="3" t="s">
        <v>144</v>
      </c>
      <c r="E214" s="3" t="s">
        <v>138</v>
      </c>
      <c r="F214" s="4">
        <v>5120</v>
      </c>
    </row>
    <row r="215" spans="1:6" x14ac:dyDescent="0.3">
      <c r="A215" t="s">
        <v>193</v>
      </c>
      <c r="B215" s="3" t="s">
        <v>54</v>
      </c>
      <c r="C215" s="3" t="s">
        <v>136</v>
      </c>
      <c r="D215" s="3" t="s">
        <v>139</v>
      </c>
      <c r="E215" s="3" t="s">
        <v>145</v>
      </c>
      <c r="F215" s="4">
        <v>3072</v>
      </c>
    </row>
    <row r="216" spans="1:6" x14ac:dyDescent="0.3">
      <c r="A216" t="s">
        <v>57</v>
      </c>
      <c r="B216" s="3" t="s">
        <v>54</v>
      </c>
      <c r="C216" s="3" t="s">
        <v>136</v>
      </c>
      <c r="D216" s="3" t="s">
        <v>146</v>
      </c>
      <c r="E216" s="3" t="s">
        <v>146</v>
      </c>
      <c r="F216" s="4">
        <v>1344</v>
      </c>
    </row>
    <row r="217" spans="1:6" x14ac:dyDescent="0.3">
      <c r="A217" t="s">
        <v>194</v>
      </c>
      <c r="B217" s="3" t="s">
        <v>54</v>
      </c>
      <c r="C217" s="3" t="s">
        <v>136</v>
      </c>
      <c r="D217" s="3" t="s">
        <v>139</v>
      </c>
      <c r="E217" s="3" t="s">
        <v>148</v>
      </c>
      <c r="F217" s="4">
        <v>3584</v>
      </c>
    </row>
    <row r="218" spans="1:6" x14ac:dyDescent="0.3">
      <c r="A218" t="s">
        <v>195</v>
      </c>
      <c r="B218" s="3" t="s">
        <v>54</v>
      </c>
      <c r="C218" s="3" t="s">
        <v>136</v>
      </c>
      <c r="D218" s="3" t="s">
        <v>149</v>
      </c>
      <c r="E218" s="3" t="s">
        <v>138</v>
      </c>
      <c r="F218" s="4">
        <v>1920</v>
      </c>
    </row>
    <row r="219" spans="1:6" x14ac:dyDescent="0.3">
      <c r="A219" t="s">
        <v>196</v>
      </c>
      <c r="B219" s="3" t="s">
        <v>54</v>
      </c>
      <c r="C219" s="3" t="s">
        <v>136</v>
      </c>
      <c r="D219" s="3" t="s">
        <v>139</v>
      </c>
      <c r="E219" s="3" t="s">
        <v>150</v>
      </c>
      <c r="F219" s="4">
        <v>3904</v>
      </c>
    </row>
    <row r="220" spans="1:6" x14ac:dyDescent="0.3">
      <c r="A220" t="s">
        <v>197</v>
      </c>
      <c r="B220" s="3" t="s">
        <v>54</v>
      </c>
      <c r="C220" s="3" t="s">
        <v>136</v>
      </c>
      <c r="D220" s="3" t="s">
        <v>141</v>
      </c>
      <c r="E220" s="3" t="s">
        <v>142</v>
      </c>
      <c r="F220" s="4">
        <v>832</v>
      </c>
    </row>
    <row r="221" spans="1:6" x14ac:dyDescent="0.3">
      <c r="A221" t="s">
        <v>61</v>
      </c>
      <c r="B221" s="3" t="s">
        <v>54</v>
      </c>
      <c r="C221" s="3" t="s">
        <v>136</v>
      </c>
      <c r="D221" s="3" t="s">
        <v>139</v>
      </c>
      <c r="E221" s="3" t="s">
        <v>151</v>
      </c>
      <c r="F221" s="4">
        <v>3200</v>
      </c>
    </row>
    <row r="222" spans="1:6" x14ac:dyDescent="0.3">
      <c r="A222" t="s">
        <v>198</v>
      </c>
      <c r="B222" s="3" t="s">
        <v>54</v>
      </c>
      <c r="C222" s="3" t="s">
        <v>136</v>
      </c>
      <c r="D222" s="3" t="s">
        <v>152</v>
      </c>
      <c r="E222" s="3" t="s">
        <v>146</v>
      </c>
      <c r="F222" s="4">
        <v>2240</v>
      </c>
    </row>
    <row r="223" spans="1:6" x14ac:dyDescent="0.3">
      <c r="A223" t="s">
        <v>199</v>
      </c>
      <c r="B223" s="3" t="s">
        <v>54</v>
      </c>
      <c r="C223" s="3" t="s">
        <v>136</v>
      </c>
      <c r="D223" s="3" t="s">
        <v>139</v>
      </c>
      <c r="E223" s="3" t="s">
        <v>153</v>
      </c>
      <c r="F223" s="4">
        <v>3712</v>
      </c>
    </row>
    <row r="224" spans="1:6" x14ac:dyDescent="0.3">
      <c r="A224" t="s">
        <v>200</v>
      </c>
      <c r="B224" s="3" t="s">
        <v>54</v>
      </c>
      <c r="C224" s="3" t="s">
        <v>136</v>
      </c>
      <c r="D224" s="3" t="s">
        <v>139</v>
      </c>
      <c r="E224" s="3" t="s">
        <v>154</v>
      </c>
      <c r="F224" s="4">
        <v>4416</v>
      </c>
    </row>
    <row r="225" spans="1:6" x14ac:dyDescent="0.3">
      <c r="A225" t="s">
        <v>201</v>
      </c>
      <c r="B225" s="3" t="s">
        <v>63</v>
      </c>
      <c r="C225" s="3" t="s">
        <v>136</v>
      </c>
      <c r="D225" s="3" t="s">
        <v>137</v>
      </c>
      <c r="E225" s="3" t="s">
        <v>138</v>
      </c>
      <c r="F225" s="4">
        <v>25600</v>
      </c>
    </row>
    <row r="226" spans="1:6" x14ac:dyDescent="0.3">
      <c r="A226" t="s">
        <v>202</v>
      </c>
      <c r="B226" s="3" t="s">
        <v>63</v>
      </c>
      <c r="C226" s="3" t="s">
        <v>136</v>
      </c>
      <c r="D226" s="3" t="s">
        <v>139</v>
      </c>
      <c r="E226" s="3" t="s">
        <v>140</v>
      </c>
      <c r="F226" s="4">
        <v>4160</v>
      </c>
    </row>
    <row r="227" spans="1:6" x14ac:dyDescent="0.3">
      <c r="A227" t="s">
        <v>66</v>
      </c>
      <c r="B227" s="3" t="s">
        <v>63</v>
      </c>
      <c r="C227" s="3" t="s">
        <v>136</v>
      </c>
      <c r="D227" s="3" t="s">
        <v>141</v>
      </c>
      <c r="E227" s="3" t="s">
        <v>142</v>
      </c>
      <c r="F227" s="4">
        <v>768</v>
      </c>
    </row>
    <row r="228" spans="1:6" x14ac:dyDescent="0.3">
      <c r="A228" t="s">
        <v>203</v>
      </c>
      <c r="B228" s="3" t="s">
        <v>63</v>
      </c>
      <c r="C228" s="3" t="s">
        <v>136</v>
      </c>
      <c r="D228" s="3" t="s">
        <v>139</v>
      </c>
      <c r="E228" s="3" t="s">
        <v>143</v>
      </c>
      <c r="F228" s="4">
        <v>4608</v>
      </c>
    </row>
    <row r="229" spans="1:6" x14ac:dyDescent="0.3">
      <c r="A229" t="s">
        <v>204</v>
      </c>
      <c r="B229" s="3" t="s">
        <v>63</v>
      </c>
      <c r="C229" s="3" t="s">
        <v>136</v>
      </c>
      <c r="D229" s="3" t="s">
        <v>144</v>
      </c>
      <c r="E229" s="3" t="s">
        <v>138</v>
      </c>
      <c r="F229" s="4">
        <v>5120</v>
      </c>
    </row>
    <row r="230" spans="1:6" x14ac:dyDescent="0.3">
      <c r="A230" t="s">
        <v>205</v>
      </c>
      <c r="B230" s="3" t="s">
        <v>63</v>
      </c>
      <c r="C230" s="3" t="s">
        <v>136</v>
      </c>
      <c r="D230" s="3" t="s">
        <v>139</v>
      </c>
      <c r="E230" s="3" t="s">
        <v>145</v>
      </c>
      <c r="F230" s="4">
        <v>3072</v>
      </c>
    </row>
    <row r="231" spans="1:6" x14ac:dyDescent="0.3">
      <c r="A231" t="s">
        <v>206</v>
      </c>
      <c r="B231" s="3" t="s">
        <v>63</v>
      </c>
      <c r="C231" s="3" t="s">
        <v>136</v>
      </c>
      <c r="D231" s="3" t="s">
        <v>146</v>
      </c>
      <c r="E231" s="3" t="s">
        <v>146</v>
      </c>
      <c r="F231" s="4">
        <v>1344</v>
      </c>
    </row>
    <row r="232" spans="1:6" x14ac:dyDescent="0.3">
      <c r="A232" t="s">
        <v>70</v>
      </c>
      <c r="B232" s="3" t="s">
        <v>63</v>
      </c>
      <c r="C232" s="3" t="s">
        <v>136</v>
      </c>
      <c r="D232" s="3" t="s">
        <v>139</v>
      </c>
      <c r="E232" s="3" t="s">
        <v>148</v>
      </c>
      <c r="F232" s="4">
        <v>3584</v>
      </c>
    </row>
    <row r="233" spans="1:6" x14ac:dyDescent="0.3">
      <c r="A233" t="s">
        <v>68</v>
      </c>
      <c r="B233" s="3" t="s">
        <v>63</v>
      </c>
      <c r="C233" s="3" t="s">
        <v>136</v>
      </c>
      <c r="D233" s="3" t="s">
        <v>149</v>
      </c>
      <c r="E233" s="3" t="s">
        <v>138</v>
      </c>
      <c r="F233" s="4">
        <v>1920</v>
      </c>
    </row>
    <row r="234" spans="1:6" x14ac:dyDescent="0.3">
      <c r="A234" t="s">
        <v>207</v>
      </c>
      <c r="B234" s="3" t="s">
        <v>63</v>
      </c>
      <c r="C234" s="3" t="s">
        <v>136</v>
      </c>
      <c r="D234" s="3" t="s">
        <v>139</v>
      </c>
      <c r="E234" s="3" t="s">
        <v>150</v>
      </c>
      <c r="F234" s="4">
        <v>3904</v>
      </c>
    </row>
    <row r="235" spans="1:6" x14ac:dyDescent="0.3">
      <c r="A235" t="s">
        <v>208</v>
      </c>
      <c r="B235" s="3" t="s">
        <v>63</v>
      </c>
      <c r="C235" s="3" t="s">
        <v>136</v>
      </c>
      <c r="D235" s="3" t="s">
        <v>141</v>
      </c>
      <c r="E235" s="3" t="s">
        <v>142</v>
      </c>
      <c r="F235" s="4">
        <v>832</v>
      </c>
    </row>
    <row r="236" spans="1:6" x14ac:dyDescent="0.3">
      <c r="A236" t="s">
        <v>209</v>
      </c>
      <c r="B236" s="3" t="s">
        <v>63</v>
      </c>
      <c r="C236" s="3" t="s">
        <v>136</v>
      </c>
      <c r="D236" s="3" t="s">
        <v>139</v>
      </c>
      <c r="E236" s="3" t="s">
        <v>151</v>
      </c>
      <c r="F236" s="4">
        <v>3200</v>
      </c>
    </row>
    <row r="237" spans="1:6" x14ac:dyDescent="0.3">
      <c r="A237" t="s">
        <v>210</v>
      </c>
      <c r="B237" s="3" t="s">
        <v>63</v>
      </c>
      <c r="C237" s="3" t="s">
        <v>136</v>
      </c>
      <c r="D237" s="3" t="s">
        <v>152</v>
      </c>
      <c r="E237" s="3" t="s">
        <v>146</v>
      </c>
      <c r="F237" s="4">
        <v>111</v>
      </c>
    </row>
    <row r="238" spans="1:6" x14ac:dyDescent="0.3">
      <c r="A238" t="s">
        <v>211</v>
      </c>
      <c r="B238" s="3" t="s">
        <v>63</v>
      </c>
      <c r="C238" s="3" t="s">
        <v>136</v>
      </c>
      <c r="D238" s="3" t="s">
        <v>139</v>
      </c>
      <c r="E238" s="3" t="s">
        <v>153</v>
      </c>
      <c r="F238" s="4">
        <v>3712</v>
      </c>
    </row>
    <row r="239" spans="1:6" x14ac:dyDescent="0.3">
      <c r="A239" t="s">
        <v>212</v>
      </c>
      <c r="B239" s="3" t="s">
        <v>63</v>
      </c>
      <c r="C239" s="3" t="s">
        <v>136</v>
      </c>
      <c r="D239" s="3" t="s">
        <v>139</v>
      </c>
      <c r="E239" s="3" t="s">
        <v>154</v>
      </c>
      <c r="F239" s="4">
        <v>4416</v>
      </c>
    </row>
    <row r="240" spans="1:6" x14ac:dyDescent="0.3">
      <c r="A240" t="s">
        <v>64</v>
      </c>
      <c r="B240" s="3" t="s">
        <v>63</v>
      </c>
      <c r="C240" s="3" t="s">
        <v>136</v>
      </c>
      <c r="D240" s="3" t="s">
        <v>155</v>
      </c>
      <c r="E240" s="3" t="s">
        <v>146</v>
      </c>
      <c r="F240" s="4">
        <v>1600</v>
      </c>
    </row>
    <row r="241" spans="1:6" x14ac:dyDescent="0.3">
      <c r="A241" t="s">
        <v>213</v>
      </c>
      <c r="B241" s="3" t="s">
        <v>63</v>
      </c>
      <c r="C241" s="3" t="s">
        <v>136</v>
      </c>
      <c r="D241" s="3" t="s">
        <v>137</v>
      </c>
      <c r="E241" s="3" t="s">
        <v>138</v>
      </c>
      <c r="F241" s="4">
        <v>25600</v>
      </c>
    </row>
    <row r="242" spans="1:6" x14ac:dyDescent="0.3">
      <c r="A242" t="s">
        <v>214</v>
      </c>
      <c r="B242" s="3" t="s">
        <v>63</v>
      </c>
      <c r="C242" s="3" t="s">
        <v>136</v>
      </c>
      <c r="D242" s="3" t="s">
        <v>139</v>
      </c>
      <c r="E242" s="3" t="s">
        <v>140</v>
      </c>
      <c r="F242" s="4">
        <v>4160</v>
      </c>
    </row>
    <row r="243" spans="1:6" x14ac:dyDescent="0.3">
      <c r="A243" t="s">
        <v>215</v>
      </c>
      <c r="B243" s="3" t="s">
        <v>63</v>
      </c>
      <c r="C243" s="3" t="s">
        <v>136</v>
      </c>
      <c r="D243" s="3" t="s">
        <v>141</v>
      </c>
      <c r="E243" s="3" t="s">
        <v>142</v>
      </c>
      <c r="F243" s="4">
        <v>768</v>
      </c>
    </row>
    <row r="244" spans="1:6" x14ac:dyDescent="0.3">
      <c r="A244" t="s">
        <v>69</v>
      </c>
      <c r="B244" s="3" t="s">
        <v>63</v>
      </c>
      <c r="C244" s="3" t="s">
        <v>136</v>
      </c>
      <c r="D244" s="3" t="s">
        <v>139</v>
      </c>
      <c r="E244" s="3" t="s">
        <v>143</v>
      </c>
      <c r="F244" s="4">
        <v>4608</v>
      </c>
    </row>
    <row r="245" spans="1:6" x14ac:dyDescent="0.3">
      <c r="A245" t="s">
        <v>216</v>
      </c>
      <c r="B245" s="3" t="s">
        <v>63</v>
      </c>
      <c r="C245" s="3" t="s">
        <v>136</v>
      </c>
      <c r="D245" s="3" t="s">
        <v>144</v>
      </c>
      <c r="E245" s="3" t="s">
        <v>138</v>
      </c>
      <c r="F245" s="4">
        <v>1000</v>
      </c>
    </row>
    <row r="246" spans="1:6" x14ac:dyDescent="0.3">
      <c r="A246" t="s">
        <v>65</v>
      </c>
      <c r="B246" s="3" t="s">
        <v>63</v>
      </c>
      <c r="C246" s="3" t="s">
        <v>136</v>
      </c>
      <c r="D246" s="3" t="s">
        <v>139</v>
      </c>
      <c r="E246" s="3" t="s">
        <v>145</v>
      </c>
      <c r="F246" s="4">
        <v>3072</v>
      </c>
    </row>
    <row r="247" spans="1:6" x14ac:dyDescent="0.3">
      <c r="A247" t="s">
        <v>217</v>
      </c>
      <c r="B247" s="3" t="s">
        <v>63</v>
      </c>
      <c r="C247" s="3" t="s">
        <v>136</v>
      </c>
      <c r="D247" s="3" t="s">
        <v>146</v>
      </c>
      <c r="E247" s="3" t="s">
        <v>146</v>
      </c>
      <c r="F247" s="4">
        <v>1344</v>
      </c>
    </row>
    <row r="248" spans="1:6" x14ac:dyDescent="0.3">
      <c r="A248" t="s">
        <v>67</v>
      </c>
      <c r="B248" s="3" t="s">
        <v>63</v>
      </c>
      <c r="C248" s="3" t="s">
        <v>136</v>
      </c>
      <c r="D248" s="3" t="s">
        <v>139</v>
      </c>
      <c r="E248" s="3" t="s">
        <v>148</v>
      </c>
      <c r="F248" s="4">
        <v>3584</v>
      </c>
    </row>
    <row r="249" spans="1:6" x14ac:dyDescent="0.3">
      <c r="A249" t="s">
        <v>218</v>
      </c>
      <c r="B249" s="3" t="s">
        <v>63</v>
      </c>
      <c r="C249" s="3" t="s">
        <v>136</v>
      </c>
      <c r="D249" s="3" t="s">
        <v>149</v>
      </c>
      <c r="E249" s="3" t="s">
        <v>138</v>
      </c>
      <c r="F249" s="4">
        <v>1920</v>
      </c>
    </row>
    <row r="250" spans="1:6" x14ac:dyDescent="0.3">
      <c r="A250" t="s">
        <v>62</v>
      </c>
      <c r="B250" s="3" t="s">
        <v>63</v>
      </c>
      <c r="C250" s="3" t="s">
        <v>136</v>
      </c>
      <c r="D250" s="3" t="s">
        <v>139</v>
      </c>
      <c r="E250" s="3" t="s">
        <v>150</v>
      </c>
      <c r="F250" s="4">
        <v>3904</v>
      </c>
    </row>
    <row r="251" spans="1:6" x14ac:dyDescent="0.3">
      <c r="A251" t="s">
        <v>219</v>
      </c>
      <c r="B251" s="3" t="s">
        <v>63</v>
      </c>
      <c r="C251" s="3" t="s">
        <v>136</v>
      </c>
      <c r="D251" s="3" t="s">
        <v>141</v>
      </c>
      <c r="E251" s="3" t="s">
        <v>142</v>
      </c>
      <c r="F251" s="4">
        <v>832</v>
      </c>
    </row>
    <row r="252" spans="1:6" x14ac:dyDescent="0.3">
      <c r="A252" t="s">
        <v>220</v>
      </c>
      <c r="B252" s="3" t="s">
        <v>63</v>
      </c>
      <c r="C252" s="3" t="s">
        <v>136</v>
      </c>
      <c r="D252" s="3" t="s">
        <v>139</v>
      </c>
      <c r="E252" s="3" t="s">
        <v>151</v>
      </c>
      <c r="F252" s="4">
        <v>3200</v>
      </c>
    </row>
    <row r="253" spans="1:6" x14ac:dyDescent="0.3">
      <c r="A253" t="s">
        <v>221</v>
      </c>
      <c r="B253" s="3" t="s">
        <v>63</v>
      </c>
      <c r="C253" s="3" t="s">
        <v>136</v>
      </c>
      <c r="D253" s="3" t="s">
        <v>152</v>
      </c>
      <c r="E253" s="3" t="s">
        <v>146</v>
      </c>
      <c r="F253" s="4">
        <v>2240</v>
      </c>
    </row>
    <row r="254" spans="1:6" x14ac:dyDescent="0.3">
      <c r="A254" t="s">
        <v>222</v>
      </c>
      <c r="B254" s="3" t="s">
        <v>63</v>
      </c>
      <c r="C254" s="3" t="s">
        <v>136</v>
      </c>
      <c r="D254" s="3" t="s">
        <v>139</v>
      </c>
      <c r="E254" s="3" t="s">
        <v>153</v>
      </c>
      <c r="F254" s="4">
        <v>3712</v>
      </c>
    </row>
    <row r="255" spans="1:6" x14ac:dyDescent="0.3">
      <c r="A255" t="s">
        <v>223</v>
      </c>
      <c r="B255" s="3" t="s">
        <v>73</v>
      </c>
      <c r="C255" s="3" t="s">
        <v>136</v>
      </c>
      <c r="D255" s="3" t="s">
        <v>137</v>
      </c>
      <c r="E255" s="3" t="s">
        <v>138</v>
      </c>
      <c r="F255" s="4">
        <v>25600</v>
      </c>
    </row>
    <row r="256" spans="1:6" x14ac:dyDescent="0.3">
      <c r="A256" t="s">
        <v>75</v>
      </c>
      <c r="B256" s="3" t="s">
        <v>73</v>
      </c>
      <c r="C256" s="3" t="s">
        <v>136</v>
      </c>
      <c r="D256" s="3" t="s">
        <v>139</v>
      </c>
      <c r="E256" s="3" t="s">
        <v>140</v>
      </c>
      <c r="F256" s="4">
        <v>4160</v>
      </c>
    </row>
    <row r="257" spans="1:6" x14ac:dyDescent="0.3">
      <c r="A257" t="s">
        <v>224</v>
      </c>
      <c r="B257" s="3" t="s">
        <v>73</v>
      </c>
      <c r="C257" s="3" t="s">
        <v>136</v>
      </c>
      <c r="D257" s="3" t="s">
        <v>141</v>
      </c>
      <c r="E257" s="3" t="s">
        <v>142</v>
      </c>
      <c r="F257" s="4">
        <v>2500</v>
      </c>
    </row>
    <row r="258" spans="1:6" x14ac:dyDescent="0.3">
      <c r="A258" t="s">
        <v>225</v>
      </c>
      <c r="B258" s="3" t="s">
        <v>73</v>
      </c>
      <c r="C258" s="3" t="s">
        <v>136</v>
      </c>
      <c r="D258" s="3" t="s">
        <v>139</v>
      </c>
      <c r="E258" s="3" t="s">
        <v>143</v>
      </c>
      <c r="F258" s="4">
        <v>4608</v>
      </c>
    </row>
    <row r="259" spans="1:6" x14ac:dyDescent="0.3">
      <c r="A259" t="s">
        <v>226</v>
      </c>
      <c r="B259" s="3" t="s">
        <v>73</v>
      </c>
      <c r="C259" s="3" t="s">
        <v>136</v>
      </c>
      <c r="D259" s="3" t="s">
        <v>144</v>
      </c>
      <c r="E259" s="3" t="s">
        <v>138</v>
      </c>
      <c r="F259" s="4">
        <v>5120</v>
      </c>
    </row>
    <row r="260" spans="1:6" x14ac:dyDescent="0.3">
      <c r="A260" t="s">
        <v>227</v>
      </c>
      <c r="B260" s="3" t="s">
        <v>73</v>
      </c>
      <c r="C260" s="3" t="s">
        <v>136</v>
      </c>
      <c r="D260" s="3" t="s">
        <v>139</v>
      </c>
      <c r="E260" s="3" t="s">
        <v>145</v>
      </c>
      <c r="F260" s="4">
        <v>3072</v>
      </c>
    </row>
    <row r="261" spans="1:6" x14ac:dyDescent="0.3">
      <c r="A261" t="s">
        <v>228</v>
      </c>
      <c r="B261" s="3" t="s">
        <v>73</v>
      </c>
      <c r="C261" s="3" t="s">
        <v>136</v>
      </c>
      <c r="D261" s="3" t="s">
        <v>146</v>
      </c>
      <c r="E261" s="3" t="s">
        <v>146</v>
      </c>
      <c r="F261" s="4">
        <v>999</v>
      </c>
    </row>
    <row r="262" spans="1:6" x14ac:dyDescent="0.3">
      <c r="A262" t="s">
        <v>229</v>
      </c>
      <c r="B262" s="3" t="s">
        <v>73</v>
      </c>
      <c r="C262" s="3" t="s">
        <v>136</v>
      </c>
      <c r="D262" s="3" t="s">
        <v>139</v>
      </c>
      <c r="E262" s="3" t="s">
        <v>148</v>
      </c>
      <c r="F262" s="4">
        <v>3584</v>
      </c>
    </row>
    <row r="263" spans="1:6" x14ac:dyDescent="0.3">
      <c r="A263" t="s">
        <v>78</v>
      </c>
      <c r="B263" s="3" t="s">
        <v>73</v>
      </c>
      <c r="C263" s="3" t="s">
        <v>136</v>
      </c>
      <c r="D263" s="3" t="s">
        <v>149</v>
      </c>
      <c r="E263" s="3" t="s">
        <v>138</v>
      </c>
      <c r="F263" s="4">
        <v>2220</v>
      </c>
    </row>
    <row r="264" spans="1:6" x14ac:dyDescent="0.3">
      <c r="A264" t="s">
        <v>72</v>
      </c>
      <c r="B264" s="3" t="s">
        <v>73</v>
      </c>
      <c r="C264" s="3" t="s">
        <v>136</v>
      </c>
      <c r="D264" s="3" t="s">
        <v>139</v>
      </c>
      <c r="E264" s="3" t="s">
        <v>150</v>
      </c>
      <c r="F264" s="4">
        <v>3904</v>
      </c>
    </row>
    <row r="265" spans="1:6" x14ac:dyDescent="0.3">
      <c r="A265" t="s">
        <v>230</v>
      </c>
      <c r="B265" s="3" t="s">
        <v>73</v>
      </c>
      <c r="C265" s="3" t="s">
        <v>136</v>
      </c>
      <c r="D265" s="3" t="s">
        <v>141</v>
      </c>
      <c r="E265" s="3" t="s">
        <v>142</v>
      </c>
      <c r="F265" s="4">
        <v>832</v>
      </c>
    </row>
    <row r="266" spans="1:6" x14ac:dyDescent="0.3">
      <c r="A266" t="s">
        <v>231</v>
      </c>
      <c r="B266" s="3" t="s">
        <v>73</v>
      </c>
      <c r="C266" s="3" t="s">
        <v>136</v>
      </c>
      <c r="D266" s="3" t="s">
        <v>139</v>
      </c>
      <c r="E266" s="3" t="s">
        <v>151</v>
      </c>
      <c r="F266" s="4">
        <v>3200</v>
      </c>
    </row>
    <row r="267" spans="1:6" x14ac:dyDescent="0.3">
      <c r="A267" t="s">
        <v>232</v>
      </c>
      <c r="B267" s="3" t="s">
        <v>73</v>
      </c>
      <c r="C267" s="3" t="s">
        <v>136</v>
      </c>
      <c r="D267" s="3" t="s">
        <v>152</v>
      </c>
      <c r="E267" s="3" t="s">
        <v>146</v>
      </c>
      <c r="F267" s="4">
        <v>2240</v>
      </c>
    </row>
    <row r="268" spans="1:6" x14ac:dyDescent="0.3">
      <c r="A268" t="s">
        <v>77</v>
      </c>
      <c r="B268" s="3" t="s">
        <v>73</v>
      </c>
      <c r="C268" s="3" t="s">
        <v>136</v>
      </c>
      <c r="D268" s="3" t="s">
        <v>139</v>
      </c>
      <c r="E268" s="3" t="s">
        <v>153</v>
      </c>
      <c r="F268" s="4">
        <v>3712</v>
      </c>
    </row>
    <row r="269" spans="1:6" x14ac:dyDescent="0.3">
      <c r="A269" t="s">
        <v>233</v>
      </c>
      <c r="B269" s="3" t="s">
        <v>73</v>
      </c>
      <c r="C269" s="3" t="s">
        <v>136</v>
      </c>
      <c r="D269" s="3" t="s">
        <v>139</v>
      </c>
      <c r="E269" s="3" t="s">
        <v>154</v>
      </c>
      <c r="F269" s="4">
        <v>4416</v>
      </c>
    </row>
    <row r="270" spans="1:6" x14ac:dyDescent="0.3">
      <c r="A270" t="s">
        <v>79</v>
      </c>
      <c r="B270" s="3" t="s">
        <v>73</v>
      </c>
      <c r="C270" s="3" t="s">
        <v>136</v>
      </c>
      <c r="D270" s="3" t="s">
        <v>155</v>
      </c>
      <c r="E270" s="3" t="s">
        <v>146</v>
      </c>
      <c r="F270" s="4">
        <v>2000</v>
      </c>
    </row>
    <row r="271" spans="1:6" x14ac:dyDescent="0.3">
      <c r="A271" t="s">
        <v>234</v>
      </c>
      <c r="B271" s="3" t="s">
        <v>73</v>
      </c>
      <c r="C271" s="3" t="s">
        <v>136</v>
      </c>
      <c r="D271" s="3" t="s">
        <v>137</v>
      </c>
      <c r="E271" s="3" t="s">
        <v>138</v>
      </c>
      <c r="F271" s="4">
        <v>25600</v>
      </c>
    </row>
    <row r="272" spans="1:6" x14ac:dyDescent="0.3">
      <c r="A272" t="s">
        <v>235</v>
      </c>
      <c r="B272" s="3" t="s">
        <v>73</v>
      </c>
      <c r="C272" s="3" t="s">
        <v>136</v>
      </c>
      <c r="D272" s="3" t="s">
        <v>139</v>
      </c>
      <c r="E272" s="3" t="s">
        <v>140</v>
      </c>
      <c r="F272" s="4">
        <v>4160</v>
      </c>
    </row>
    <row r="273" spans="1:6" x14ac:dyDescent="0.3">
      <c r="A273" t="s">
        <v>76</v>
      </c>
      <c r="B273" s="3" t="s">
        <v>73</v>
      </c>
      <c r="C273" s="3" t="s">
        <v>136</v>
      </c>
      <c r="D273" s="3" t="s">
        <v>141</v>
      </c>
      <c r="E273" s="3" t="s">
        <v>142</v>
      </c>
      <c r="F273" s="4">
        <v>768</v>
      </c>
    </row>
    <row r="274" spans="1:6" x14ac:dyDescent="0.3">
      <c r="A274" t="s">
        <v>236</v>
      </c>
      <c r="B274" s="3" t="s">
        <v>73</v>
      </c>
      <c r="C274" s="3" t="s">
        <v>136</v>
      </c>
      <c r="D274" s="3" t="s">
        <v>139</v>
      </c>
      <c r="E274" s="3" t="s">
        <v>143</v>
      </c>
      <c r="F274" s="4">
        <v>4608</v>
      </c>
    </row>
    <row r="275" spans="1:6" x14ac:dyDescent="0.3">
      <c r="A275" t="s">
        <v>237</v>
      </c>
      <c r="B275" s="3" t="s">
        <v>73</v>
      </c>
      <c r="C275" s="3" t="s">
        <v>136</v>
      </c>
      <c r="D275" s="3" t="s">
        <v>144</v>
      </c>
      <c r="E275" s="3" t="s">
        <v>138</v>
      </c>
      <c r="F275" s="4">
        <v>5120</v>
      </c>
    </row>
    <row r="276" spans="1:6" x14ac:dyDescent="0.3">
      <c r="A276" t="s">
        <v>238</v>
      </c>
      <c r="B276" s="3" t="s">
        <v>73</v>
      </c>
      <c r="C276" s="3" t="s">
        <v>136</v>
      </c>
      <c r="D276" s="3" t="s">
        <v>139</v>
      </c>
      <c r="E276" s="3" t="s">
        <v>145</v>
      </c>
      <c r="F276" s="4">
        <v>3072</v>
      </c>
    </row>
    <row r="277" spans="1:6" x14ac:dyDescent="0.3">
      <c r="A277" t="s">
        <v>239</v>
      </c>
      <c r="B277" s="3" t="s">
        <v>73</v>
      </c>
      <c r="C277" s="3" t="s">
        <v>136</v>
      </c>
      <c r="D277" s="3" t="s">
        <v>146</v>
      </c>
      <c r="E277" s="3" t="s">
        <v>146</v>
      </c>
      <c r="F277" s="4">
        <v>1344</v>
      </c>
    </row>
    <row r="278" spans="1:6" x14ac:dyDescent="0.3">
      <c r="A278" t="s">
        <v>74</v>
      </c>
      <c r="B278" s="3" t="s">
        <v>73</v>
      </c>
      <c r="C278" s="3" t="s">
        <v>136</v>
      </c>
      <c r="D278" s="3" t="s">
        <v>139</v>
      </c>
      <c r="E278" s="3" t="s">
        <v>148</v>
      </c>
      <c r="F278" s="4">
        <v>3584</v>
      </c>
    </row>
    <row r="279" spans="1:6" x14ac:dyDescent="0.3">
      <c r="A279" t="s">
        <v>240</v>
      </c>
      <c r="B279" s="3" t="s">
        <v>73</v>
      </c>
      <c r="C279" s="3" t="s">
        <v>136</v>
      </c>
      <c r="D279" s="3" t="s">
        <v>149</v>
      </c>
      <c r="E279" s="3" t="s">
        <v>138</v>
      </c>
      <c r="F279" s="4">
        <v>1920</v>
      </c>
    </row>
    <row r="280" spans="1:6" x14ac:dyDescent="0.3">
      <c r="A280" t="s">
        <v>241</v>
      </c>
      <c r="B280" s="3" t="s">
        <v>73</v>
      </c>
      <c r="C280" s="3" t="s">
        <v>136</v>
      </c>
      <c r="D280" s="3" t="s">
        <v>139</v>
      </c>
      <c r="E280" s="3" t="s">
        <v>150</v>
      </c>
      <c r="F280" s="4">
        <v>3904</v>
      </c>
    </row>
    <row r="281" spans="1:6" x14ac:dyDescent="0.3">
      <c r="A281" t="s">
        <v>242</v>
      </c>
      <c r="B281" s="3" t="s">
        <v>73</v>
      </c>
      <c r="C281" s="3" t="s">
        <v>136</v>
      </c>
      <c r="D281" s="3" t="s">
        <v>141</v>
      </c>
      <c r="E281" s="3" t="s">
        <v>142</v>
      </c>
      <c r="F281" s="4">
        <v>832</v>
      </c>
    </row>
    <row r="282" spans="1:6" x14ac:dyDescent="0.3">
      <c r="A282" t="s">
        <v>243</v>
      </c>
      <c r="B282" s="3" t="s">
        <v>73</v>
      </c>
      <c r="C282" s="3" t="s">
        <v>136</v>
      </c>
      <c r="D282" s="3" t="s">
        <v>139</v>
      </c>
      <c r="E282" s="3" t="s">
        <v>151</v>
      </c>
      <c r="F282" s="4">
        <v>3200</v>
      </c>
    </row>
    <row r="283" spans="1:6" x14ac:dyDescent="0.3">
      <c r="A283" t="s">
        <v>244</v>
      </c>
      <c r="B283" s="3" t="s">
        <v>73</v>
      </c>
      <c r="C283" s="3" t="s">
        <v>136</v>
      </c>
      <c r="D283" s="3" t="s">
        <v>152</v>
      </c>
      <c r="E283" s="3" t="s">
        <v>146</v>
      </c>
      <c r="F283" s="4">
        <v>2240</v>
      </c>
    </row>
    <row r="284" spans="1:6" x14ac:dyDescent="0.3">
      <c r="A284" t="s">
        <v>245</v>
      </c>
      <c r="B284" s="3" t="s">
        <v>73</v>
      </c>
      <c r="C284" s="3" t="s">
        <v>136</v>
      </c>
      <c r="D284" s="3" t="s">
        <v>139</v>
      </c>
      <c r="E284" s="3" t="s">
        <v>153</v>
      </c>
      <c r="F284" s="4">
        <v>3712</v>
      </c>
    </row>
    <row r="285" spans="1:6" x14ac:dyDescent="0.3">
      <c r="A285" t="s">
        <v>246</v>
      </c>
      <c r="B285" s="3" t="s">
        <v>73</v>
      </c>
      <c r="C285" s="3" t="s">
        <v>136</v>
      </c>
      <c r="D285" s="3" t="s">
        <v>139</v>
      </c>
      <c r="E285" s="3" t="s">
        <v>154</v>
      </c>
      <c r="F285" s="4">
        <v>4416</v>
      </c>
    </row>
    <row r="286" spans="1:6" x14ac:dyDescent="0.3">
      <c r="A286" t="s">
        <v>247</v>
      </c>
      <c r="B286" s="3" t="s">
        <v>80</v>
      </c>
      <c r="C286" s="3" t="s">
        <v>136</v>
      </c>
      <c r="D286" s="3" t="s">
        <v>137</v>
      </c>
      <c r="E286" s="3" t="s">
        <v>138</v>
      </c>
      <c r="F286" s="4">
        <v>25600</v>
      </c>
    </row>
    <row r="287" spans="1:6" x14ac:dyDescent="0.3">
      <c r="A287" t="s">
        <v>248</v>
      </c>
      <c r="B287" s="3" t="s">
        <v>80</v>
      </c>
      <c r="C287" s="3" t="s">
        <v>136</v>
      </c>
      <c r="D287" s="3" t="s">
        <v>139</v>
      </c>
      <c r="E287" s="3" t="s">
        <v>140</v>
      </c>
      <c r="F287" s="4">
        <v>4160</v>
      </c>
    </row>
    <row r="288" spans="1:6" x14ac:dyDescent="0.3">
      <c r="A288" t="s">
        <v>86</v>
      </c>
      <c r="B288" s="3" t="s">
        <v>80</v>
      </c>
      <c r="C288" s="3" t="s">
        <v>136</v>
      </c>
      <c r="D288" s="3" t="s">
        <v>141</v>
      </c>
      <c r="E288" s="3" t="s">
        <v>142</v>
      </c>
      <c r="F288" s="4">
        <v>768</v>
      </c>
    </row>
    <row r="289" spans="1:6" x14ac:dyDescent="0.3">
      <c r="A289" t="s">
        <v>249</v>
      </c>
      <c r="B289" s="3" t="s">
        <v>80</v>
      </c>
      <c r="C289" s="3" t="s">
        <v>136</v>
      </c>
      <c r="D289" s="3" t="s">
        <v>139</v>
      </c>
      <c r="E289" s="3" t="s">
        <v>143</v>
      </c>
      <c r="F289" s="4">
        <v>4608</v>
      </c>
    </row>
    <row r="290" spans="1:6" x14ac:dyDescent="0.3">
      <c r="A290" t="s">
        <v>250</v>
      </c>
      <c r="B290" s="3" t="s">
        <v>80</v>
      </c>
      <c r="C290" s="3" t="s">
        <v>136</v>
      </c>
      <c r="D290" s="3" t="s">
        <v>144</v>
      </c>
      <c r="E290" s="3" t="s">
        <v>138</v>
      </c>
      <c r="F290" s="4">
        <v>1000</v>
      </c>
    </row>
    <row r="291" spans="1:6" x14ac:dyDescent="0.3">
      <c r="A291" t="s">
        <v>251</v>
      </c>
      <c r="B291" s="3" t="s">
        <v>80</v>
      </c>
      <c r="C291" s="3" t="s">
        <v>136</v>
      </c>
      <c r="D291" s="3" t="s">
        <v>139</v>
      </c>
      <c r="E291" s="3" t="s">
        <v>145</v>
      </c>
      <c r="F291" s="4">
        <v>3072</v>
      </c>
    </row>
    <row r="292" spans="1:6" x14ac:dyDescent="0.3">
      <c r="A292" t="s">
        <v>252</v>
      </c>
      <c r="B292" s="3" t="s">
        <v>80</v>
      </c>
      <c r="C292" s="3" t="s">
        <v>136</v>
      </c>
      <c r="D292" s="3" t="s">
        <v>146</v>
      </c>
      <c r="E292" s="3" t="s">
        <v>146</v>
      </c>
      <c r="F292" s="4">
        <v>1344</v>
      </c>
    </row>
    <row r="293" spans="1:6" x14ac:dyDescent="0.3">
      <c r="A293" t="s">
        <v>253</v>
      </c>
      <c r="B293" s="3" t="s">
        <v>80</v>
      </c>
      <c r="C293" s="3" t="s">
        <v>136</v>
      </c>
      <c r="D293" s="3" t="s">
        <v>139</v>
      </c>
      <c r="E293" s="3" t="s">
        <v>148</v>
      </c>
      <c r="F293" s="4">
        <v>3584</v>
      </c>
    </row>
    <row r="294" spans="1:6" x14ac:dyDescent="0.3">
      <c r="A294" t="s">
        <v>254</v>
      </c>
      <c r="B294" s="3" t="s">
        <v>80</v>
      </c>
      <c r="C294" s="3" t="s">
        <v>136</v>
      </c>
      <c r="D294" s="3" t="s">
        <v>149</v>
      </c>
      <c r="E294" s="3" t="s">
        <v>138</v>
      </c>
      <c r="F294" s="4">
        <v>1920</v>
      </c>
    </row>
    <row r="295" spans="1:6" x14ac:dyDescent="0.3">
      <c r="A295" t="s">
        <v>85</v>
      </c>
      <c r="B295" s="3" t="s">
        <v>80</v>
      </c>
      <c r="C295" s="3" t="s">
        <v>136</v>
      </c>
      <c r="D295" s="3" t="s">
        <v>139</v>
      </c>
      <c r="E295" s="3" t="s">
        <v>150</v>
      </c>
      <c r="F295" s="4">
        <v>3904</v>
      </c>
    </row>
    <row r="296" spans="1:6" x14ac:dyDescent="0.3">
      <c r="A296" t="s">
        <v>255</v>
      </c>
      <c r="B296" s="3" t="s">
        <v>80</v>
      </c>
      <c r="C296" s="3" t="s">
        <v>136</v>
      </c>
      <c r="D296" s="3" t="s">
        <v>141</v>
      </c>
      <c r="E296" s="3" t="s">
        <v>142</v>
      </c>
      <c r="F296" s="4">
        <v>832</v>
      </c>
    </row>
    <row r="297" spans="1:6" x14ac:dyDescent="0.3">
      <c r="A297" t="s">
        <v>256</v>
      </c>
      <c r="B297" s="3" t="s">
        <v>80</v>
      </c>
      <c r="C297" s="3" t="s">
        <v>136</v>
      </c>
      <c r="D297" s="3" t="s">
        <v>139</v>
      </c>
      <c r="E297" s="3" t="s">
        <v>151</v>
      </c>
      <c r="F297" s="4">
        <v>3200</v>
      </c>
    </row>
    <row r="298" spans="1:6" x14ac:dyDescent="0.3">
      <c r="A298" t="s">
        <v>257</v>
      </c>
      <c r="B298" s="3" t="s">
        <v>80</v>
      </c>
      <c r="C298" s="3" t="s">
        <v>136</v>
      </c>
      <c r="D298" s="3" t="s">
        <v>152</v>
      </c>
      <c r="E298" s="3" t="s">
        <v>146</v>
      </c>
      <c r="F298" s="4">
        <v>3111</v>
      </c>
    </row>
    <row r="299" spans="1:6" x14ac:dyDescent="0.3">
      <c r="A299" t="s">
        <v>258</v>
      </c>
      <c r="B299" s="3" t="s">
        <v>80</v>
      </c>
      <c r="C299" s="3" t="s">
        <v>136</v>
      </c>
      <c r="D299" s="3" t="s">
        <v>139</v>
      </c>
      <c r="E299" s="3" t="s">
        <v>153</v>
      </c>
      <c r="F299" s="4">
        <v>3712</v>
      </c>
    </row>
    <row r="300" spans="1:6" x14ac:dyDescent="0.3">
      <c r="A300" t="s">
        <v>259</v>
      </c>
      <c r="B300" s="3" t="s">
        <v>80</v>
      </c>
      <c r="C300" s="3" t="s">
        <v>136</v>
      </c>
      <c r="D300" s="3" t="s">
        <v>139</v>
      </c>
      <c r="E300" s="3" t="s">
        <v>154</v>
      </c>
      <c r="F300" s="4">
        <v>4416</v>
      </c>
    </row>
    <row r="301" spans="1:6" x14ac:dyDescent="0.3">
      <c r="A301" t="s">
        <v>260</v>
      </c>
      <c r="B301" s="3" t="s">
        <v>80</v>
      </c>
      <c r="C301" s="3" t="s">
        <v>136</v>
      </c>
      <c r="D301" s="3" t="s">
        <v>155</v>
      </c>
      <c r="E301" s="3" t="s">
        <v>146</v>
      </c>
      <c r="F301" s="4">
        <v>1600</v>
      </c>
    </row>
    <row r="302" spans="1:6" x14ac:dyDescent="0.3">
      <c r="A302" t="s">
        <v>84</v>
      </c>
      <c r="B302" s="3" t="s">
        <v>80</v>
      </c>
      <c r="C302" s="3" t="s">
        <v>136</v>
      </c>
      <c r="D302" s="3" t="s">
        <v>137</v>
      </c>
      <c r="E302" s="3" t="s">
        <v>138</v>
      </c>
      <c r="F302" s="4">
        <v>25600</v>
      </c>
    </row>
    <row r="303" spans="1:6" x14ac:dyDescent="0.3">
      <c r="A303" t="s">
        <v>261</v>
      </c>
      <c r="B303" s="3" t="s">
        <v>80</v>
      </c>
      <c r="C303" s="3" t="s">
        <v>136</v>
      </c>
      <c r="D303" s="3" t="s">
        <v>139</v>
      </c>
      <c r="E303" s="3" t="s">
        <v>140</v>
      </c>
      <c r="F303" s="4">
        <v>4160</v>
      </c>
    </row>
    <row r="304" spans="1:6" x14ac:dyDescent="0.3">
      <c r="A304" t="s">
        <v>87</v>
      </c>
      <c r="B304" s="3" t="s">
        <v>80</v>
      </c>
      <c r="C304" s="3" t="s">
        <v>136</v>
      </c>
      <c r="D304" s="3" t="s">
        <v>141</v>
      </c>
      <c r="E304" s="3" t="s">
        <v>142</v>
      </c>
      <c r="F304" s="4">
        <v>768</v>
      </c>
    </row>
    <row r="305" spans="1:6" x14ac:dyDescent="0.3">
      <c r="A305" t="s">
        <v>83</v>
      </c>
      <c r="B305" s="3" t="s">
        <v>80</v>
      </c>
      <c r="C305" s="3" t="s">
        <v>136</v>
      </c>
      <c r="D305" s="3" t="s">
        <v>139</v>
      </c>
      <c r="E305" s="3" t="s">
        <v>143</v>
      </c>
      <c r="F305" s="4">
        <v>4608</v>
      </c>
    </row>
    <row r="306" spans="1:6" x14ac:dyDescent="0.3">
      <c r="A306" t="s">
        <v>82</v>
      </c>
      <c r="B306" s="3" t="s">
        <v>80</v>
      </c>
      <c r="C306" s="3" t="s">
        <v>136</v>
      </c>
      <c r="D306" s="3" t="s">
        <v>144</v>
      </c>
      <c r="E306" s="3" t="s">
        <v>138</v>
      </c>
      <c r="F306" s="4">
        <v>5120</v>
      </c>
    </row>
    <row r="307" spans="1:6" x14ac:dyDescent="0.3">
      <c r="A307" t="s">
        <v>81</v>
      </c>
      <c r="B307" s="3" t="s">
        <v>80</v>
      </c>
      <c r="C307" s="3" t="s">
        <v>136</v>
      </c>
      <c r="D307" s="3" t="s">
        <v>139</v>
      </c>
      <c r="E307" s="3" t="s">
        <v>145</v>
      </c>
      <c r="F307" s="4">
        <v>3072</v>
      </c>
    </row>
    <row r="308" spans="1:6" x14ac:dyDescent="0.3">
      <c r="A308" t="s">
        <v>262</v>
      </c>
      <c r="B308" s="3" t="s">
        <v>80</v>
      </c>
      <c r="C308" s="3" t="s">
        <v>136</v>
      </c>
      <c r="D308" s="3" t="s">
        <v>146</v>
      </c>
      <c r="E308" s="3" t="s">
        <v>146</v>
      </c>
      <c r="F308" s="4">
        <v>1344</v>
      </c>
    </row>
    <row r="309" spans="1:6" x14ac:dyDescent="0.3">
      <c r="A309" t="s">
        <v>263</v>
      </c>
      <c r="B309" s="3" t="s">
        <v>80</v>
      </c>
      <c r="C309" s="3" t="s">
        <v>136</v>
      </c>
      <c r="D309" s="3" t="s">
        <v>139</v>
      </c>
      <c r="E309" s="3" t="s">
        <v>148</v>
      </c>
      <c r="F309" s="4">
        <v>3584</v>
      </c>
    </row>
    <row r="310" spans="1:6" x14ac:dyDescent="0.3">
      <c r="A310" t="s">
        <v>264</v>
      </c>
      <c r="B310" s="3" t="s">
        <v>80</v>
      </c>
      <c r="C310" s="3" t="s">
        <v>136</v>
      </c>
      <c r="D310" s="3" t="s">
        <v>149</v>
      </c>
      <c r="E310" s="3" t="s">
        <v>138</v>
      </c>
      <c r="F310" s="4">
        <v>1920</v>
      </c>
    </row>
    <row r="311" spans="1:6" x14ac:dyDescent="0.3">
      <c r="A311" t="s">
        <v>265</v>
      </c>
      <c r="B311" s="3" t="s">
        <v>80</v>
      </c>
      <c r="C311" s="3" t="s">
        <v>136</v>
      </c>
      <c r="D311" s="3" t="s">
        <v>139</v>
      </c>
      <c r="E311" s="3" t="s">
        <v>150</v>
      </c>
      <c r="F311" s="4">
        <v>3904</v>
      </c>
    </row>
    <row r="312" spans="1:6" x14ac:dyDescent="0.3">
      <c r="A312" t="s">
        <v>266</v>
      </c>
      <c r="B312" s="3" t="s">
        <v>80</v>
      </c>
      <c r="C312" s="3" t="s">
        <v>136</v>
      </c>
      <c r="D312" s="3" t="s">
        <v>141</v>
      </c>
      <c r="E312" s="3" t="s">
        <v>142</v>
      </c>
      <c r="F312" s="4">
        <v>832</v>
      </c>
    </row>
    <row r="313" spans="1:6" x14ac:dyDescent="0.3">
      <c r="A313" t="s">
        <v>267</v>
      </c>
      <c r="B313" s="3" t="s">
        <v>80</v>
      </c>
      <c r="C313" s="3" t="s">
        <v>136</v>
      </c>
      <c r="D313" s="3" t="s">
        <v>139</v>
      </c>
      <c r="E313" s="3" t="s">
        <v>151</v>
      </c>
      <c r="F313" s="4">
        <v>3200</v>
      </c>
    </row>
    <row r="314" spans="1:6" x14ac:dyDescent="0.3">
      <c r="A314" t="s">
        <v>268</v>
      </c>
      <c r="B314" s="3" t="s">
        <v>80</v>
      </c>
      <c r="C314" s="3" t="s">
        <v>136</v>
      </c>
      <c r="D314" s="3" t="s">
        <v>152</v>
      </c>
      <c r="E314" s="3" t="s">
        <v>146</v>
      </c>
      <c r="F314" s="4">
        <v>2240</v>
      </c>
    </row>
    <row r="315" spans="1:6" x14ac:dyDescent="0.3">
      <c r="A315" t="s">
        <v>269</v>
      </c>
      <c r="B315" s="3" t="s">
        <v>80</v>
      </c>
      <c r="C315" s="3" t="s">
        <v>136</v>
      </c>
      <c r="D315" s="3" t="s">
        <v>139</v>
      </c>
      <c r="E315" s="3" t="s">
        <v>153</v>
      </c>
      <c r="F315" s="4">
        <v>3712</v>
      </c>
    </row>
    <row r="316" spans="1:6" x14ac:dyDescent="0.3">
      <c r="A316" t="s">
        <v>93</v>
      </c>
      <c r="B316" s="3" t="s">
        <v>89</v>
      </c>
      <c r="C316" s="3" t="s">
        <v>136</v>
      </c>
      <c r="D316" s="3" t="s">
        <v>137</v>
      </c>
      <c r="E316" s="3" t="s">
        <v>138</v>
      </c>
      <c r="F316" s="4">
        <v>25600</v>
      </c>
    </row>
    <row r="317" spans="1:6" x14ac:dyDescent="0.3">
      <c r="A317" t="s">
        <v>270</v>
      </c>
      <c r="B317" s="3" t="s">
        <v>89</v>
      </c>
      <c r="C317" s="3" t="s">
        <v>136</v>
      </c>
      <c r="D317" s="3" t="s">
        <v>139</v>
      </c>
      <c r="E317" s="3" t="s">
        <v>140</v>
      </c>
      <c r="F317" s="4">
        <v>4160</v>
      </c>
    </row>
    <row r="318" spans="1:6" x14ac:dyDescent="0.3">
      <c r="A318" t="s">
        <v>91</v>
      </c>
      <c r="B318" s="3" t="s">
        <v>89</v>
      </c>
      <c r="C318" s="3" t="s">
        <v>136</v>
      </c>
      <c r="D318" s="3" t="s">
        <v>141</v>
      </c>
      <c r="E318" s="3" t="s">
        <v>142</v>
      </c>
      <c r="F318" s="4">
        <v>768</v>
      </c>
    </row>
    <row r="319" spans="1:6" x14ac:dyDescent="0.3">
      <c r="A319" t="s">
        <v>271</v>
      </c>
      <c r="B319" s="3" t="s">
        <v>89</v>
      </c>
      <c r="C319" s="3" t="s">
        <v>136</v>
      </c>
      <c r="D319" s="3" t="s">
        <v>139</v>
      </c>
      <c r="E319" s="3" t="s">
        <v>143</v>
      </c>
      <c r="F319" s="4">
        <v>4608</v>
      </c>
    </row>
    <row r="320" spans="1:6" x14ac:dyDescent="0.3">
      <c r="A320" t="s">
        <v>272</v>
      </c>
      <c r="B320" s="3" t="s">
        <v>89</v>
      </c>
      <c r="C320" s="3" t="s">
        <v>136</v>
      </c>
      <c r="D320" s="3" t="s">
        <v>144</v>
      </c>
      <c r="E320" s="3" t="s">
        <v>138</v>
      </c>
      <c r="F320" s="4">
        <v>5120</v>
      </c>
    </row>
    <row r="321" spans="1:6" x14ac:dyDescent="0.3">
      <c r="A321" t="s">
        <v>273</v>
      </c>
      <c r="B321" s="3" t="s">
        <v>89</v>
      </c>
      <c r="C321" s="3" t="s">
        <v>136</v>
      </c>
      <c r="D321" s="3" t="s">
        <v>139</v>
      </c>
      <c r="E321" s="3" t="s">
        <v>145</v>
      </c>
      <c r="F321" s="4">
        <v>3072</v>
      </c>
    </row>
    <row r="322" spans="1:6" x14ac:dyDescent="0.3">
      <c r="A322" t="s">
        <v>90</v>
      </c>
      <c r="B322" s="3" t="s">
        <v>89</v>
      </c>
      <c r="C322" s="3" t="s">
        <v>136</v>
      </c>
      <c r="D322" s="3" t="s">
        <v>146</v>
      </c>
      <c r="E322" s="3" t="s">
        <v>146</v>
      </c>
      <c r="F322" s="4">
        <v>2500</v>
      </c>
    </row>
    <row r="323" spans="1:6" x14ac:dyDescent="0.3">
      <c r="A323" t="s">
        <v>274</v>
      </c>
      <c r="B323" s="3" t="s">
        <v>89</v>
      </c>
      <c r="C323" s="3" t="s">
        <v>136</v>
      </c>
      <c r="D323" s="3" t="s">
        <v>139</v>
      </c>
      <c r="E323" s="3" t="s">
        <v>148</v>
      </c>
      <c r="F323" s="4">
        <v>3584</v>
      </c>
    </row>
    <row r="324" spans="1:6" x14ac:dyDescent="0.3">
      <c r="A324" t="s">
        <v>275</v>
      </c>
      <c r="B324" s="3" t="s">
        <v>89</v>
      </c>
      <c r="C324" s="3" t="s">
        <v>136</v>
      </c>
      <c r="D324" s="3" t="s">
        <v>149</v>
      </c>
      <c r="E324" s="3" t="s">
        <v>138</v>
      </c>
      <c r="F324" s="4">
        <v>2000</v>
      </c>
    </row>
    <row r="325" spans="1:6" x14ac:dyDescent="0.3">
      <c r="A325" t="s">
        <v>276</v>
      </c>
      <c r="B325" s="3" t="s">
        <v>89</v>
      </c>
      <c r="C325" s="3" t="s">
        <v>136</v>
      </c>
      <c r="D325" s="3" t="s">
        <v>139</v>
      </c>
      <c r="E325" s="3" t="s">
        <v>150</v>
      </c>
      <c r="F325" s="4">
        <v>3904</v>
      </c>
    </row>
    <row r="326" spans="1:6" x14ac:dyDescent="0.3">
      <c r="A326" t="s">
        <v>277</v>
      </c>
      <c r="B326" s="3" t="s">
        <v>89</v>
      </c>
      <c r="C326" s="3" t="s">
        <v>136</v>
      </c>
      <c r="D326" s="3" t="s">
        <v>141</v>
      </c>
      <c r="E326" s="3" t="s">
        <v>142</v>
      </c>
      <c r="F326" s="4">
        <v>500</v>
      </c>
    </row>
    <row r="327" spans="1:6" x14ac:dyDescent="0.3">
      <c r="A327" t="s">
        <v>278</v>
      </c>
      <c r="B327" s="3" t="s">
        <v>89</v>
      </c>
      <c r="C327" s="3" t="s">
        <v>136</v>
      </c>
      <c r="D327" s="3" t="s">
        <v>139</v>
      </c>
      <c r="E327" s="3" t="s">
        <v>151</v>
      </c>
      <c r="F327" s="4">
        <v>3200</v>
      </c>
    </row>
    <row r="328" spans="1:6" x14ac:dyDescent="0.3">
      <c r="A328" t="s">
        <v>279</v>
      </c>
      <c r="B328" s="3" t="s">
        <v>89</v>
      </c>
      <c r="C328" s="3" t="s">
        <v>136</v>
      </c>
      <c r="D328" s="3" t="s">
        <v>152</v>
      </c>
      <c r="E328" s="3" t="s">
        <v>146</v>
      </c>
      <c r="F328" s="4">
        <v>2240</v>
      </c>
    </row>
    <row r="329" spans="1:6" x14ac:dyDescent="0.3">
      <c r="A329" t="s">
        <v>280</v>
      </c>
      <c r="B329" s="3" t="s">
        <v>89</v>
      </c>
      <c r="C329" s="3" t="s">
        <v>136</v>
      </c>
      <c r="D329" s="3" t="s">
        <v>139</v>
      </c>
      <c r="E329" s="3" t="s">
        <v>153</v>
      </c>
      <c r="F329" s="4">
        <v>3712</v>
      </c>
    </row>
    <row r="330" spans="1:6" x14ac:dyDescent="0.3">
      <c r="A330" t="s">
        <v>281</v>
      </c>
      <c r="B330" s="3" t="s">
        <v>89</v>
      </c>
      <c r="C330" s="3" t="s">
        <v>136</v>
      </c>
      <c r="D330" s="3" t="s">
        <v>139</v>
      </c>
      <c r="E330" s="3" t="s">
        <v>154</v>
      </c>
      <c r="F330" s="4">
        <v>4416</v>
      </c>
    </row>
    <row r="331" spans="1:6" x14ac:dyDescent="0.3">
      <c r="A331" t="s">
        <v>92</v>
      </c>
      <c r="B331" s="3" t="s">
        <v>89</v>
      </c>
      <c r="C331" s="3" t="s">
        <v>136</v>
      </c>
      <c r="D331" s="3" t="s">
        <v>155</v>
      </c>
      <c r="E331" s="3" t="s">
        <v>146</v>
      </c>
      <c r="F331" s="4">
        <v>2121</v>
      </c>
    </row>
    <row r="332" spans="1:6" x14ac:dyDescent="0.3">
      <c r="A332" t="s">
        <v>282</v>
      </c>
      <c r="B332" s="3" t="s">
        <v>89</v>
      </c>
      <c r="C332" s="3" t="s">
        <v>136</v>
      </c>
      <c r="D332" s="3" t="s">
        <v>137</v>
      </c>
      <c r="E332" s="3" t="s">
        <v>138</v>
      </c>
      <c r="F332" s="4">
        <v>25600</v>
      </c>
    </row>
    <row r="333" spans="1:6" x14ac:dyDescent="0.3">
      <c r="A333" t="s">
        <v>283</v>
      </c>
      <c r="B333" s="3" t="s">
        <v>89</v>
      </c>
      <c r="C333" s="3" t="s">
        <v>136</v>
      </c>
      <c r="D333" s="3" t="s">
        <v>139</v>
      </c>
      <c r="E333" s="3" t="s">
        <v>140</v>
      </c>
      <c r="F333" s="4">
        <v>4160</v>
      </c>
    </row>
    <row r="334" spans="1:6" x14ac:dyDescent="0.3">
      <c r="A334" t="s">
        <v>284</v>
      </c>
      <c r="B334" s="3" t="s">
        <v>89</v>
      </c>
      <c r="C334" s="3" t="s">
        <v>136</v>
      </c>
      <c r="D334" s="3" t="s">
        <v>141</v>
      </c>
      <c r="E334" s="3" t="s">
        <v>142</v>
      </c>
      <c r="F334" s="4">
        <v>768</v>
      </c>
    </row>
    <row r="335" spans="1:6" x14ac:dyDescent="0.3">
      <c r="A335" t="s">
        <v>94</v>
      </c>
      <c r="B335" s="3" t="s">
        <v>89</v>
      </c>
      <c r="C335" s="3" t="s">
        <v>136</v>
      </c>
      <c r="D335" s="3" t="s">
        <v>139</v>
      </c>
      <c r="E335" s="3" t="s">
        <v>143</v>
      </c>
      <c r="F335" s="4">
        <v>4608</v>
      </c>
    </row>
    <row r="336" spans="1:6" x14ac:dyDescent="0.3">
      <c r="A336" t="s">
        <v>285</v>
      </c>
      <c r="B336" s="3" t="s">
        <v>89</v>
      </c>
      <c r="C336" s="3" t="s">
        <v>136</v>
      </c>
      <c r="D336" s="3" t="s">
        <v>144</v>
      </c>
      <c r="E336" s="3" t="s">
        <v>138</v>
      </c>
      <c r="F336" s="4">
        <v>5120</v>
      </c>
    </row>
    <row r="337" spans="1:6" x14ac:dyDescent="0.3">
      <c r="A337" t="s">
        <v>286</v>
      </c>
      <c r="B337" s="3" t="s">
        <v>89</v>
      </c>
      <c r="C337" s="3" t="s">
        <v>136</v>
      </c>
      <c r="D337" s="3" t="s">
        <v>139</v>
      </c>
      <c r="E337" s="3" t="s">
        <v>145</v>
      </c>
      <c r="F337" s="4">
        <v>3072</v>
      </c>
    </row>
    <row r="338" spans="1:6" x14ac:dyDescent="0.3">
      <c r="A338" t="s">
        <v>287</v>
      </c>
      <c r="B338" s="3" t="s">
        <v>89</v>
      </c>
      <c r="C338" s="3" t="s">
        <v>136</v>
      </c>
      <c r="D338" s="3" t="s">
        <v>146</v>
      </c>
      <c r="E338" s="3" t="s">
        <v>146</v>
      </c>
      <c r="F338" s="4">
        <v>1344</v>
      </c>
    </row>
    <row r="339" spans="1:6" x14ac:dyDescent="0.3">
      <c r="A339" t="s">
        <v>288</v>
      </c>
      <c r="B339" s="3" t="s">
        <v>89</v>
      </c>
      <c r="C339" s="3" t="s">
        <v>136</v>
      </c>
      <c r="D339" s="3" t="s">
        <v>139</v>
      </c>
      <c r="E339" s="3" t="s">
        <v>148</v>
      </c>
      <c r="F339" s="4">
        <v>3584</v>
      </c>
    </row>
    <row r="340" spans="1:6" x14ac:dyDescent="0.3">
      <c r="A340" t="s">
        <v>289</v>
      </c>
      <c r="B340" s="3" t="s">
        <v>89</v>
      </c>
      <c r="C340" s="3" t="s">
        <v>136</v>
      </c>
      <c r="D340" s="3" t="s">
        <v>149</v>
      </c>
      <c r="E340" s="3" t="s">
        <v>138</v>
      </c>
      <c r="F340" s="4">
        <v>1920</v>
      </c>
    </row>
    <row r="341" spans="1:6" x14ac:dyDescent="0.3">
      <c r="A341" t="s">
        <v>88</v>
      </c>
      <c r="B341" s="3" t="s">
        <v>89</v>
      </c>
      <c r="C341" s="3" t="s">
        <v>136</v>
      </c>
      <c r="D341" s="3" t="s">
        <v>139</v>
      </c>
      <c r="E341" s="3" t="s">
        <v>150</v>
      </c>
      <c r="F341" s="4">
        <v>3904</v>
      </c>
    </row>
    <row r="342" spans="1:6" x14ac:dyDescent="0.3">
      <c r="A342" t="s">
        <v>290</v>
      </c>
      <c r="B342" s="3" t="s">
        <v>89</v>
      </c>
      <c r="C342" s="3" t="s">
        <v>136</v>
      </c>
      <c r="D342" s="3" t="s">
        <v>141</v>
      </c>
      <c r="E342" s="3" t="s">
        <v>142</v>
      </c>
      <c r="F342" s="4">
        <v>832</v>
      </c>
    </row>
    <row r="343" spans="1:6" x14ac:dyDescent="0.3">
      <c r="A343" t="s">
        <v>95</v>
      </c>
      <c r="B343" s="3" t="s">
        <v>89</v>
      </c>
      <c r="C343" s="3" t="s">
        <v>136</v>
      </c>
      <c r="D343" s="3" t="s">
        <v>139</v>
      </c>
      <c r="E343" s="3" t="s">
        <v>151</v>
      </c>
      <c r="F343" s="4">
        <v>3200</v>
      </c>
    </row>
    <row r="344" spans="1:6" x14ac:dyDescent="0.3">
      <c r="A344" t="s">
        <v>291</v>
      </c>
      <c r="B344" s="3" t="s">
        <v>89</v>
      </c>
      <c r="C344" s="3" t="s">
        <v>136</v>
      </c>
      <c r="D344" s="3" t="s">
        <v>152</v>
      </c>
      <c r="E344" s="3" t="s">
        <v>146</v>
      </c>
      <c r="F344" s="4">
        <v>2240</v>
      </c>
    </row>
    <row r="345" spans="1:6" x14ac:dyDescent="0.3">
      <c r="A345" t="s">
        <v>292</v>
      </c>
      <c r="B345" s="3" t="s">
        <v>89</v>
      </c>
      <c r="C345" s="3" t="s">
        <v>136</v>
      </c>
      <c r="D345" s="3" t="s">
        <v>139</v>
      </c>
      <c r="E345" s="3" t="s">
        <v>153</v>
      </c>
      <c r="F345" s="4">
        <v>3712</v>
      </c>
    </row>
    <row r="346" spans="1:6" x14ac:dyDescent="0.3">
      <c r="A346" t="s">
        <v>293</v>
      </c>
      <c r="B346" s="3" t="s">
        <v>89</v>
      </c>
      <c r="C346" s="3" t="s">
        <v>136</v>
      </c>
      <c r="D346" s="3" t="s">
        <v>139</v>
      </c>
      <c r="E346" s="3" t="s">
        <v>154</v>
      </c>
      <c r="F346" s="4">
        <v>100</v>
      </c>
    </row>
    <row r="347" spans="1:6" x14ac:dyDescent="0.3">
      <c r="A347" t="s">
        <v>294</v>
      </c>
      <c r="B347" s="3" t="s">
        <v>97</v>
      </c>
      <c r="C347" s="3" t="s">
        <v>136</v>
      </c>
      <c r="D347" s="3" t="s">
        <v>137</v>
      </c>
      <c r="E347" s="3" t="s">
        <v>138</v>
      </c>
      <c r="F347" s="4">
        <v>25600</v>
      </c>
    </row>
    <row r="348" spans="1:6" x14ac:dyDescent="0.3">
      <c r="A348" t="s">
        <v>295</v>
      </c>
      <c r="B348" s="3" t="s">
        <v>97</v>
      </c>
      <c r="C348" s="3" t="s">
        <v>136</v>
      </c>
      <c r="D348" s="3" t="s">
        <v>139</v>
      </c>
      <c r="E348" s="3" t="s">
        <v>140</v>
      </c>
      <c r="F348" s="4">
        <v>100</v>
      </c>
    </row>
    <row r="349" spans="1:6" x14ac:dyDescent="0.3">
      <c r="A349" t="s">
        <v>296</v>
      </c>
      <c r="B349" s="3" t="s">
        <v>97</v>
      </c>
      <c r="C349" s="3" t="s">
        <v>136</v>
      </c>
      <c r="D349" s="3" t="s">
        <v>141</v>
      </c>
      <c r="E349" s="3" t="s">
        <v>142</v>
      </c>
      <c r="F349" s="4">
        <v>768</v>
      </c>
    </row>
    <row r="350" spans="1:6" x14ac:dyDescent="0.3">
      <c r="A350" t="s">
        <v>297</v>
      </c>
      <c r="B350" s="3" t="s">
        <v>97</v>
      </c>
      <c r="C350" s="3" t="s">
        <v>136</v>
      </c>
      <c r="D350" s="3" t="s">
        <v>139</v>
      </c>
      <c r="E350" s="3" t="s">
        <v>143</v>
      </c>
      <c r="F350" s="4">
        <v>4608</v>
      </c>
    </row>
    <row r="351" spans="1:6" x14ac:dyDescent="0.3">
      <c r="A351" t="s">
        <v>298</v>
      </c>
      <c r="B351" s="3" t="s">
        <v>97</v>
      </c>
      <c r="C351" s="3" t="s">
        <v>136</v>
      </c>
      <c r="D351" s="3" t="s">
        <v>144</v>
      </c>
      <c r="E351" s="3" t="s">
        <v>138</v>
      </c>
      <c r="F351" s="4">
        <v>500</v>
      </c>
    </row>
    <row r="352" spans="1:6" x14ac:dyDescent="0.3">
      <c r="A352" t="s">
        <v>299</v>
      </c>
      <c r="B352" s="3" t="s">
        <v>97</v>
      </c>
      <c r="C352" s="3" t="s">
        <v>136</v>
      </c>
      <c r="D352" s="3" t="s">
        <v>139</v>
      </c>
      <c r="E352" s="3" t="s">
        <v>145</v>
      </c>
      <c r="F352" s="4">
        <v>3072</v>
      </c>
    </row>
    <row r="353" spans="1:6" x14ac:dyDescent="0.3">
      <c r="A353" t="s">
        <v>300</v>
      </c>
      <c r="B353" s="3" t="s">
        <v>97</v>
      </c>
      <c r="C353" s="3" t="s">
        <v>136</v>
      </c>
      <c r="D353" s="3" t="s">
        <v>146</v>
      </c>
      <c r="E353" s="3" t="s">
        <v>146</v>
      </c>
      <c r="F353" s="4">
        <v>1344</v>
      </c>
    </row>
    <row r="354" spans="1:6" x14ac:dyDescent="0.3">
      <c r="A354" t="s">
        <v>102</v>
      </c>
      <c r="B354" s="3" t="s">
        <v>97</v>
      </c>
      <c r="C354" s="3" t="s">
        <v>136</v>
      </c>
      <c r="D354" s="3" t="s">
        <v>139</v>
      </c>
      <c r="E354" s="3" t="s">
        <v>148</v>
      </c>
      <c r="F354" s="4">
        <v>3584</v>
      </c>
    </row>
    <row r="355" spans="1:6" x14ac:dyDescent="0.3">
      <c r="A355" t="s">
        <v>301</v>
      </c>
      <c r="B355" s="3" t="s">
        <v>97</v>
      </c>
      <c r="C355" s="3" t="s">
        <v>136</v>
      </c>
      <c r="D355" s="3" t="s">
        <v>149</v>
      </c>
      <c r="E355" s="3" t="s">
        <v>138</v>
      </c>
      <c r="F355" s="4">
        <v>1920</v>
      </c>
    </row>
    <row r="356" spans="1:6" x14ac:dyDescent="0.3">
      <c r="A356" t="s">
        <v>101</v>
      </c>
      <c r="B356" s="3" t="s">
        <v>97</v>
      </c>
      <c r="C356" s="3" t="s">
        <v>136</v>
      </c>
      <c r="D356" s="3" t="s">
        <v>139</v>
      </c>
      <c r="E356" s="3" t="s">
        <v>150</v>
      </c>
      <c r="F356" s="4">
        <v>3904</v>
      </c>
    </row>
    <row r="357" spans="1:6" x14ac:dyDescent="0.3">
      <c r="A357" t="s">
        <v>302</v>
      </c>
      <c r="B357" s="3" t="s">
        <v>97</v>
      </c>
      <c r="C357" s="3" t="s">
        <v>136</v>
      </c>
      <c r="D357" s="3" t="s">
        <v>141</v>
      </c>
      <c r="E357" s="3" t="s">
        <v>142</v>
      </c>
      <c r="F357" s="4">
        <v>832</v>
      </c>
    </row>
    <row r="358" spans="1:6" x14ac:dyDescent="0.3">
      <c r="A358" t="s">
        <v>303</v>
      </c>
      <c r="B358" s="3" t="s">
        <v>97</v>
      </c>
      <c r="C358" s="3" t="s">
        <v>136</v>
      </c>
      <c r="D358" s="3" t="s">
        <v>139</v>
      </c>
      <c r="E358" s="3" t="s">
        <v>151</v>
      </c>
      <c r="F358" s="4">
        <v>3200</v>
      </c>
    </row>
    <row r="359" spans="1:6" x14ac:dyDescent="0.3">
      <c r="A359" t="s">
        <v>304</v>
      </c>
      <c r="B359" s="3" t="s">
        <v>97</v>
      </c>
      <c r="C359" s="3" t="s">
        <v>136</v>
      </c>
      <c r="D359" s="3" t="s">
        <v>152</v>
      </c>
      <c r="E359" s="3" t="s">
        <v>146</v>
      </c>
      <c r="F359" s="4">
        <v>3000</v>
      </c>
    </row>
    <row r="360" spans="1:6" x14ac:dyDescent="0.3">
      <c r="A360" t="s">
        <v>99</v>
      </c>
      <c r="B360" s="3" t="s">
        <v>97</v>
      </c>
      <c r="C360" s="3" t="s">
        <v>136</v>
      </c>
      <c r="D360" s="3" t="s">
        <v>139</v>
      </c>
      <c r="E360" s="3" t="s">
        <v>153</v>
      </c>
      <c r="F360" s="4">
        <v>3712</v>
      </c>
    </row>
    <row r="361" spans="1:6" x14ac:dyDescent="0.3">
      <c r="A361" t="s">
        <v>98</v>
      </c>
      <c r="B361" s="3" t="s">
        <v>97</v>
      </c>
      <c r="C361" s="3" t="s">
        <v>136</v>
      </c>
      <c r="D361" s="3" t="s">
        <v>139</v>
      </c>
      <c r="E361" s="3" t="s">
        <v>154</v>
      </c>
      <c r="F361" s="4">
        <v>4416</v>
      </c>
    </row>
    <row r="362" spans="1:6" x14ac:dyDescent="0.3">
      <c r="A362" t="s">
        <v>305</v>
      </c>
      <c r="B362" s="3" t="s">
        <v>97</v>
      </c>
      <c r="C362" s="3" t="s">
        <v>136</v>
      </c>
      <c r="D362" s="3" t="s">
        <v>155</v>
      </c>
      <c r="E362" s="3" t="s">
        <v>146</v>
      </c>
      <c r="F362" s="4">
        <v>1600</v>
      </c>
    </row>
    <row r="363" spans="1:6" x14ac:dyDescent="0.3">
      <c r="A363" t="s">
        <v>306</v>
      </c>
      <c r="B363" s="3" t="s">
        <v>97</v>
      </c>
      <c r="C363" s="3" t="s">
        <v>136</v>
      </c>
      <c r="D363" s="3" t="s">
        <v>137</v>
      </c>
      <c r="E363" s="3" t="s">
        <v>138</v>
      </c>
      <c r="F363" s="4">
        <v>25600</v>
      </c>
    </row>
    <row r="364" spans="1:6" x14ac:dyDescent="0.3">
      <c r="A364" t="s">
        <v>307</v>
      </c>
      <c r="B364" s="3" t="s">
        <v>97</v>
      </c>
      <c r="C364" s="3" t="s">
        <v>136</v>
      </c>
      <c r="D364" s="3" t="s">
        <v>139</v>
      </c>
      <c r="E364" s="3" t="s">
        <v>140</v>
      </c>
      <c r="F364" s="4">
        <v>4160</v>
      </c>
    </row>
    <row r="365" spans="1:6" x14ac:dyDescent="0.3">
      <c r="A365" t="s">
        <v>308</v>
      </c>
      <c r="B365" s="3" t="s">
        <v>97</v>
      </c>
      <c r="C365" s="3" t="s">
        <v>136</v>
      </c>
      <c r="D365" s="3" t="s">
        <v>141</v>
      </c>
      <c r="E365" s="3" t="s">
        <v>142</v>
      </c>
      <c r="F365" s="4">
        <v>768</v>
      </c>
    </row>
    <row r="366" spans="1:6" x14ac:dyDescent="0.3">
      <c r="A366" t="s">
        <v>309</v>
      </c>
      <c r="B366" s="3" t="s">
        <v>97</v>
      </c>
      <c r="C366" s="3" t="s">
        <v>136</v>
      </c>
      <c r="D366" s="3" t="s">
        <v>139</v>
      </c>
      <c r="E366" s="3" t="s">
        <v>143</v>
      </c>
      <c r="F366" s="4">
        <v>4608</v>
      </c>
    </row>
    <row r="367" spans="1:6" x14ac:dyDescent="0.3">
      <c r="A367" t="s">
        <v>310</v>
      </c>
      <c r="B367" s="3" t="s">
        <v>97</v>
      </c>
      <c r="C367" s="3" t="s">
        <v>136</v>
      </c>
      <c r="D367" s="3" t="s">
        <v>144</v>
      </c>
      <c r="E367" s="3" t="s">
        <v>138</v>
      </c>
      <c r="F367" s="4">
        <v>5120</v>
      </c>
    </row>
    <row r="368" spans="1:6" x14ac:dyDescent="0.3">
      <c r="A368" t="s">
        <v>311</v>
      </c>
      <c r="B368" s="3" t="s">
        <v>97</v>
      </c>
      <c r="C368" s="3" t="s">
        <v>136</v>
      </c>
      <c r="D368" s="3" t="s">
        <v>139</v>
      </c>
      <c r="E368" s="3" t="s">
        <v>145</v>
      </c>
      <c r="F368" s="4">
        <v>3072</v>
      </c>
    </row>
    <row r="369" spans="1:6" x14ac:dyDescent="0.3">
      <c r="A369" t="s">
        <v>312</v>
      </c>
      <c r="B369" s="3" t="s">
        <v>97</v>
      </c>
      <c r="C369" s="3" t="s">
        <v>136</v>
      </c>
      <c r="D369" s="3" t="s">
        <v>146</v>
      </c>
      <c r="E369" s="3" t="s">
        <v>146</v>
      </c>
      <c r="F369" s="4">
        <v>1344</v>
      </c>
    </row>
    <row r="370" spans="1:6" x14ac:dyDescent="0.3">
      <c r="A370" t="s">
        <v>313</v>
      </c>
      <c r="B370" s="3" t="s">
        <v>97</v>
      </c>
      <c r="C370" s="3" t="s">
        <v>136</v>
      </c>
      <c r="D370" s="3" t="s">
        <v>139</v>
      </c>
      <c r="E370" s="3" t="s">
        <v>148</v>
      </c>
      <c r="F370" s="4">
        <v>3584</v>
      </c>
    </row>
    <row r="371" spans="1:6" x14ac:dyDescent="0.3">
      <c r="A371" t="s">
        <v>314</v>
      </c>
      <c r="B371" s="3" t="s">
        <v>97</v>
      </c>
      <c r="C371" s="3" t="s">
        <v>136</v>
      </c>
      <c r="D371" s="3" t="s">
        <v>149</v>
      </c>
      <c r="E371" s="3" t="s">
        <v>138</v>
      </c>
      <c r="F371" s="4">
        <v>1920</v>
      </c>
    </row>
    <row r="372" spans="1:6" x14ac:dyDescent="0.3">
      <c r="A372" t="s">
        <v>96</v>
      </c>
      <c r="B372" s="3" t="s">
        <v>97</v>
      </c>
      <c r="C372" s="3" t="s">
        <v>136</v>
      </c>
      <c r="D372" s="3" t="s">
        <v>139</v>
      </c>
      <c r="E372" s="3" t="s">
        <v>150</v>
      </c>
      <c r="F372" s="4">
        <v>3904</v>
      </c>
    </row>
    <row r="373" spans="1:6" x14ac:dyDescent="0.3">
      <c r="A373" t="s">
        <v>100</v>
      </c>
      <c r="B373" s="3" t="s">
        <v>97</v>
      </c>
      <c r="C373" s="3" t="s">
        <v>136</v>
      </c>
      <c r="D373" s="3" t="s">
        <v>141</v>
      </c>
      <c r="E373" s="3" t="s">
        <v>142</v>
      </c>
      <c r="F373" s="4">
        <v>832</v>
      </c>
    </row>
    <row r="374" spans="1:6" x14ac:dyDescent="0.3">
      <c r="A374" t="s">
        <v>315</v>
      </c>
      <c r="B374" s="3" t="s">
        <v>97</v>
      </c>
      <c r="C374" s="3" t="s">
        <v>136</v>
      </c>
      <c r="D374" s="3" t="s">
        <v>139</v>
      </c>
      <c r="E374" s="3" t="s">
        <v>151</v>
      </c>
      <c r="F374" s="4">
        <v>3200</v>
      </c>
    </row>
    <row r="375" spans="1:6" x14ac:dyDescent="0.3">
      <c r="A375" t="s">
        <v>316</v>
      </c>
      <c r="B375" s="3" t="s">
        <v>97</v>
      </c>
      <c r="C375" s="3" t="s">
        <v>136</v>
      </c>
      <c r="D375" s="3" t="s">
        <v>152</v>
      </c>
      <c r="E375" s="3" t="s">
        <v>146</v>
      </c>
      <c r="F375" s="4">
        <v>2240</v>
      </c>
    </row>
    <row r="376" spans="1:6" x14ac:dyDescent="0.3">
      <c r="A376" t="s">
        <v>317</v>
      </c>
      <c r="B376" s="3" t="s">
        <v>97</v>
      </c>
      <c r="C376" s="3" t="s">
        <v>136</v>
      </c>
      <c r="D376" s="3" t="s">
        <v>139</v>
      </c>
      <c r="E376" s="3" t="s">
        <v>153</v>
      </c>
      <c r="F376" s="4">
        <v>3712</v>
      </c>
    </row>
    <row r="377" spans="1:6" x14ac:dyDescent="0.3">
      <c r="A377" t="s">
        <v>318</v>
      </c>
      <c r="B377" s="3" t="s">
        <v>97</v>
      </c>
      <c r="C377" s="3" t="s">
        <v>136</v>
      </c>
      <c r="D377" s="3" t="s">
        <v>139</v>
      </c>
      <c r="E377" s="3" t="s">
        <v>154</v>
      </c>
      <c r="F377" s="4">
        <v>4416</v>
      </c>
    </row>
    <row r="378" spans="1:6" x14ac:dyDescent="0.3">
      <c r="A378" t="s">
        <v>319</v>
      </c>
      <c r="B378" s="3" t="s">
        <v>104</v>
      </c>
      <c r="C378" s="3" t="s">
        <v>136</v>
      </c>
      <c r="D378" s="3" t="s">
        <v>137</v>
      </c>
      <c r="E378" s="3" t="s">
        <v>138</v>
      </c>
      <c r="F378" s="4">
        <v>25600</v>
      </c>
    </row>
    <row r="379" spans="1:6" x14ac:dyDescent="0.3">
      <c r="A379" t="s">
        <v>320</v>
      </c>
      <c r="B379" s="3" t="s">
        <v>104</v>
      </c>
      <c r="C379" s="3" t="s">
        <v>136</v>
      </c>
      <c r="D379" s="3" t="s">
        <v>139</v>
      </c>
      <c r="E379" s="3" t="s">
        <v>140</v>
      </c>
      <c r="F379" s="4">
        <v>4160</v>
      </c>
    </row>
    <row r="380" spans="1:6" x14ac:dyDescent="0.3">
      <c r="A380" t="s">
        <v>108</v>
      </c>
      <c r="B380" s="3" t="s">
        <v>104</v>
      </c>
      <c r="C380" s="3" t="s">
        <v>136</v>
      </c>
      <c r="D380" s="3" t="s">
        <v>141</v>
      </c>
      <c r="E380" s="3" t="s">
        <v>142</v>
      </c>
      <c r="F380" s="4">
        <v>768</v>
      </c>
    </row>
    <row r="381" spans="1:6" x14ac:dyDescent="0.3">
      <c r="A381" t="s">
        <v>321</v>
      </c>
      <c r="B381" s="3" t="s">
        <v>104</v>
      </c>
      <c r="C381" s="3" t="s">
        <v>136</v>
      </c>
      <c r="D381" s="3" t="s">
        <v>139</v>
      </c>
      <c r="E381" s="3" t="s">
        <v>143</v>
      </c>
      <c r="F381" s="4">
        <v>4608</v>
      </c>
    </row>
    <row r="382" spans="1:6" x14ac:dyDescent="0.3">
      <c r="A382" t="s">
        <v>105</v>
      </c>
      <c r="B382" s="3" t="s">
        <v>104</v>
      </c>
      <c r="C382" s="3" t="s">
        <v>136</v>
      </c>
      <c r="D382" s="3" t="s">
        <v>144</v>
      </c>
      <c r="E382" s="3" t="s">
        <v>138</v>
      </c>
      <c r="F382" s="4">
        <v>5120</v>
      </c>
    </row>
    <row r="383" spans="1:6" x14ac:dyDescent="0.3">
      <c r="A383" t="s">
        <v>322</v>
      </c>
      <c r="B383" s="3" t="s">
        <v>104</v>
      </c>
      <c r="C383" s="3" t="s">
        <v>136</v>
      </c>
      <c r="D383" s="3" t="s">
        <v>139</v>
      </c>
      <c r="E383" s="3" t="s">
        <v>145</v>
      </c>
      <c r="F383" s="4">
        <v>3072</v>
      </c>
    </row>
    <row r="384" spans="1:6" x14ac:dyDescent="0.3">
      <c r="A384" t="s">
        <v>107</v>
      </c>
      <c r="B384" s="3" t="s">
        <v>104</v>
      </c>
      <c r="C384" s="3" t="s">
        <v>136</v>
      </c>
      <c r="D384" s="3" t="s">
        <v>146</v>
      </c>
      <c r="E384" s="3" t="s">
        <v>146</v>
      </c>
      <c r="F384" s="4">
        <v>2500</v>
      </c>
    </row>
    <row r="385" spans="1:6" x14ac:dyDescent="0.3">
      <c r="A385" t="s">
        <v>323</v>
      </c>
      <c r="B385" s="3" t="s">
        <v>104</v>
      </c>
      <c r="C385" s="3" t="s">
        <v>136</v>
      </c>
      <c r="D385" s="3" t="s">
        <v>139</v>
      </c>
      <c r="E385" s="3" t="s">
        <v>148</v>
      </c>
      <c r="F385" s="4">
        <v>3584</v>
      </c>
    </row>
    <row r="386" spans="1:6" x14ac:dyDescent="0.3">
      <c r="A386" t="s">
        <v>324</v>
      </c>
      <c r="B386" s="3" t="s">
        <v>104</v>
      </c>
      <c r="C386" s="3" t="s">
        <v>136</v>
      </c>
      <c r="D386" s="3" t="s">
        <v>149</v>
      </c>
      <c r="E386" s="3" t="s">
        <v>138</v>
      </c>
      <c r="F386" s="4">
        <v>500</v>
      </c>
    </row>
    <row r="387" spans="1:6" x14ac:dyDescent="0.3">
      <c r="A387" t="s">
        <v>325</v>
      </c>
      <c r="B387" s="3" t="s">
        <v>104</v>
      </c>
      <c r="C387" s="3" t="s">
        <v>136</v>
      </c>
      <c r="D387" s="3" t="s">
        <v>139</v>
      </c>
      <c r="E387" s="3" t="s">
        <v>150</v>
      </c>
      <c r="F387" s="4">
        <v>3904</v>
      </c>
    </row>
    <row r="388" spans="1:6" x14ac:dyDescent="0.3">
      <c r="A388" t="s">
        <v>326</v>
      </c>
      <c r="B388" s="3" t="s">
        <v>104</v>
      </c>
      <c r="C388" s="3" t="s">
        <v>136</v>
      </c>
      <c r="D388" s="3" t="s">
        <v>141</v>
      </c>
      <c r="E388" s="3" t="s">
        <v>142</v>
      </c>
      <c r="F388" s="4">
        <v>1999</v>
      </c>
    </row>
    <row r="389" spans="1:6" x14ac:dyDescent="0.3">
      <c r="A389" t="s">
        <v>110</v>
      </c>
      <c r="B389" s="3" t="s">
        <v>104</v>
      </c>
      <c r="C389" s="3" t="s">
        <v>136</v>
      </c>
      <c r="D389" s="3" t="s">
        <v>139</v>
      </c>
      <c r="E389" s="3" t="s">
        <v>151</v>
      </c>
      <c r="F389" s="4">
        <v>3200</v>
      </c>
    </row>
    <row r="390" spans="1:6" x14ac:dyDescent="0.3">
      <c r="A390" t="s">
        <v>327</v>
      </c>
      <c r="B390" s="3" t="s">
        <v>104</v>
      </c>
      <c r="C390" s="3" t="s">
        <v>136</v>
      </c>
      <c r="D390" s="3" t="s">
        <v>152</v>
      </c>
      <c r="E390" s="3" t="s">
        <v>146</v>
      </c>
      <c r="F390" s="4">
        <v>2240</v>
      </c>
    </row>
    <row r="391" spans="1:6" x14ac:dyDescent="0.3">
      <c r="A391" t="s">
        <v>328</v>
      </c>
      <c r="B391" s="3" t="s">
        <v>104</v>
      </c>
      <c r="C391" s="3" t="s">
        <v>136</v>
      </c>
      <c r="D391" s="3" t="s">
        <v>139</v>
      </c>
      <c r="E391" s="3" t="s">
        <v>153</v>
      </c>
      <c r="F391" s="4">
        <v>3712</v>
      </c>
    </row>
    <row r="392" spans="1:6" x14ac:dyDescent="0.3">
      <c r="A392" t="s">
        <v>329</v>
      </c>
      <c r="B392" s="3" t="s">
        <v>104</v>
      </c>
      <c r="C392" s="3" t="s">
        <v>136</v>
      </c>
      <c r="D392" s="3" t="s">
        <v>139</v>
      </c>
      <c r="E392" s="3" t="s">
        <v>154</v>
      </c>
      <c r="F392" s="4">
        <v>4416</v>
      </c>
    </row>
    <row r="393" spans="1:6" x14ac:dyDescent="0.3">
      <c r="A393" t="s">
        <v>106</v>
      </c>
      <c r="B393" s="3" t="s">
        <v>104</v>
      </c>
      <c r="C393" s="3" t="s">
        <v>136</v>
      </c>
      <c r="D393" s="3" t="s">
        <v>155</v>
      </c>
      <c r="E393" s="3" t="s">
        <v>146</v>
      </c>
      <c r="F393" s="4">
        <v>1500</v>
      </c>
    </row>
    <row r="394" spans="1:6" x14ac:dyDescent="0.3">
      <c r="A394" t="s">
        <v>109</v>
      </c>
      <c r="B394" s="3" t="s">
        <v>104</v>
      </c>
      <c r="C394" s="3" t="s">
        <v>136</v>
      </c>
      <c r="D394" s="3" t="s">
        <v>137</v>
      </c>
      <c r="E394" s="3" t="s">
        <v>138</v>
      </c>
      <c r="F394" s="4">
        <v>25600</v>
      </c>
    </row>
    <row r="395" spans="1:6" x14ac:dyDescent="0.3">
      <c r="A395" t="s">
        <v>330</v>
      </c>
      <c r="B395" s="3" t="s">
        <v>104</v>
      </c>
      <c r="C395" s="3" t="s">
        <v>136</v>
      </c>
      <c r="D395" s="3" t="s">
        <v>139</v>
      </c>
      <c r="E395" s="3" t="s">
        <v>140</v>
      </c>
      <c r="F395" s="4">
        <v>4160</v>
      </c>
    </row>
    <row r="396" spans="1:6" x14ac:dyDescent="0.3">
      <c r="A396" t="s">
        <v>331</v>
      </c>
      <c r="B396" s="3" t="s">
        <v>104</v>
      </c>
      <c r="C396" s="3" t="s">
        <v>136</v>
      </c>
      <c r="D396" s="3" t="s">
        <v>141</v>
      </c>
      <c r="E396" s="3" t="s">
        <v>142</v>
      </c>
      <c r="F396" s="4">
        <v>768</v>
      </c>
    </row>
    <row r="397" spans="1:6" x14ac:dyDescent="0.3">
      <c r="A397" t="s">
        <v>332</v>
      </c>
      <c r="B397" s="3" t="s">
        <v>104</v>
      </c>
      <c r="C397" s="3" t="s">
        <v>136</v>
      </c>
      <c r="D397" s="3" t="s">
        <v>139</v>
      </c>
      <c r="E397" s="3" t="s">
        <v>143</v>
      </c>
      <c r="F397" s="4">
        <v>4608</v>
      </c>
    </row>
    <row r="398" spans="1:6" x14ac:dyDescent="0.3">
      <c r="A398" t="s">
        <v>333</v>
      </c>
      <c r="B398" s="3" t="s">
        <v>104</v>
      </c>
      <c r="C398" s="3" t="s">
        <v>136</v>
      </c>
      <c r="D398" s="3" t="s">
        <v>144</v>
      </c>
      <c r="E398" s="3" t="s">
        <v>138</v>
      </c>
      <c r="F398" s="4">
        <v>5120</v>
      </c>
    </row>
    <row r="399" spans="1:6" x14ac:dyDescent="0.3">
      <c r="A399" t="s">
        <v>334</v>
      </c>
      <c r="B399" s="3" t="s">
        <v>104</v>
      </c>
      <c r="C399" s="3" t="s">
        <v>136</v>
      </c>
      <c r="D399" s="3" t="s">
        <v>139</v>
      </c>
      <c r="E399" s="3" t="s">
        <v>145</v>
      </c>
      <c r="F399" s="4">
        <v>3072</v>
      </c>
    </row>
    <row r="400" spans="1:6" x14ac:dyDescent="0.3">
      <c r="A400" t="s">
        <v>335</v>
      </c>
      <c r="B400" s="3" t="s">
        <v>104</v>
      </c>
      <c r="C400" s="3" t="s">
        <v>136</v>
      </c>
      <c r="D400" s="3" t="s">
        <v>146</v>
      </c>
      <c r="E400" s="3" t="s">
        <v>146</v>
      </c>
      <c r="F400" s="4">
        <v>1344</v>
      </c>
    </row>
    <row r="401" spans="1:6" x14ac:dyDescent="0.3">
      <c r="A401" t="s">
        <v>103</v>
      </c>
      <c r="B401" s="3" t="s">
        <v>104</v>
      </c>
      <c r="C401" s="3" t="s">
        <v>136</v>
      </c>
      <c r="D401" s="3" t="s">
        <v>139</v>
      </c>
      <c r="E401" s="3" t="s">
        <v>148</v>
      </c>
      <c r="F401" s="4">
        <v>3584</v>
      </c>
    </row>
    <row r="402" spans="1:6" x14ac:dyDescent="0.3">
      <c r="A402" t="s">
        <v>336</v>
      </c>
      <c r="B402" s="3" t="s">
        <v>104</v>
      </c>
      <c r="C402" s="3" t="s">
        <v>136</v>
      </c>
      <c r="D402" s="3" t="s">
        <v>149</v>
      </c>
      <c r="E402" s="3" t="s">
        <v>138</v>
      </c>
      <c r="F402" s="4">
        <v>1920</v>
      </c>
    </row>
    <row r="403" spans="1:6" x14ac:dyDescent="0.3">
      <c r="A403" t="s">
        <v>337</v>
      </c>
      <c r="B403" s="3" t="s">
        <v>104</v>
      </c>
      <c r="C403" s="3" t="s">
        <v>136</v>
      </c>
      <c r="D403" s="3" t="s">
        <v>139</v>
      </c>
      <c r="E403" s="3" t="s">
        <v>150</v>
      </c>
      <c r="F403" s="4">
        <v>3904</v>
      </c>
    </row>
    <row r="404" spans="1:6" x14ac:dyDescent="0.3">
      <c r="A404" t="s">
        <v>338</v>
      </c>
      <c r="B404" s="3" t="s">
        <v>104</v>
      </c>
      <c r="C404" s="3" t="s">
        <v>136</v>
      </c>
      <c r="D404" s="3" t="s">
        <v>141</v>
      </c>
      <c r="E404" s="3" t="s">
        <v>142</v>
      </c>
      <c r="F404" s="4">
        <v>832</v>
      </c>
    </row>
    <row r="405" spans="1:6" x14ac:dyDescent="0.3">
      <c r="A405" t="s">
        <v>339</v>
      </c>
      <c r="B405" s="3" t="s">
        <v>104</v>
      </c>
      <c r="C405" s="3" t="s">
        <v>136</v>
      </c>
      <c r="D405" s="3" t="s">
        <v>139</v>
      </c>
      <c r="E405" s="3" t="s">
        <v>151</v>
      </c>
      <c r="F405" s="4">
        <v>3200</v>
      </c>
    </row>
    <row r="406" spans="1:6" x14ac:dyDescent="0.3">
      <c r="A406" t="s">
        <v>340</v>
      </c>
      <c r="B406" s="3" t="s">
        <v>104</v>
      </c>
      <c r="C406" s="3" t="s">
        <v>136</v>
      </c>
      <c r="D406" s="3" t="s">
        <v>152</v>
      </c>
      <c r="E406" s="3" t="s">
        <v>146</v>
      </c>
      <c r="F406" s="4">
        <v>2240</v>
      </c>
    </row>
    <row r="407" spans="1:6" x14ac:dyDescent="0.3">
      <c r="A407" t="s">
        <v>341</v>
      </c>
      <c r="B407" s="3" t="s">
        <v>104</v>
      </c>
      <c r="C407" s="3" t="s">
        <v>136</v>
      </c>
      <c r="D407" s="3" t="s">
        <v>139</v>
      </c>
      <c r="E407" s="3" t="s">
        <v>153</v>
      </c>
      <c r="F407" s="4">
        <v>3712</v>
      </c>
    </row>
    <row r="408" spans="1:6" x14ac:dyDescent="0.3">
      <c r="A408" t="s">
        <v>116</v>
      </c>
      <c r="B408" s="3" t="s">
        <v>112</v>
      </c>
      <c r="C408" s="3" t="s">
        <v>136</v>
      </c>
      <c r="D408" s="3" t="s">
        <v>137</v>
      </c>
      <c r="E408" s="3" t="s">
        <v>138</v>
      </c>
      <c r="F408" s="4">
        <v>25600</v>
      </c>
    </row>
    <row r="409" spans="1:6" x14ac:dyDescent="0.3">
      <c r="A409" t="s">
        <v>117</v>
      </c>
      <c r="B409" s="3" t="s">
        <v>112</v>
      </c>
      <c r="C409" s="3" t="s">
        <v>136</v>
      </c>
      <c r="D409" s="3" t="s">
        <v>139</v>
      </c>
      <c r="E409" s="3" t="s">
        <v>140</v>
      </c>
      <c r="F409" s="4">
        <v>4160</v>
      </c>
    </row>
    <row r="410" spans="1:6" x14ac:dyDescent="0.3">
      <c r="A410" t="s">
        <v>342</v>
      </c>
      <c r="B410" s="3" t="s">
        <v>112</v>
      </c>
      <c r="C410" s="3" t="s">
        <v>136</v>
      </c>
      <c r="D410" s="3" t="s">
        <v>141</v>
      </c>
      <c r="E410" s="3" t="s">
        <v>142</v>
      </c>
      <c r="F410" s="4">
        <v>768</v>
      </c>
    </row>
    <row r="411" spans="1:6" x14ac:dyDescent="0.3">
      <c r="A411" t="s">
        <v>343</v>
      </c>
      <c r="B411" s="3" t="s">
        <v>112</v>
      </c>
      <c r="C411" s="3" t="s">
        <v>136</v>
      </c>
      <c r="D411" s="3" t="s">
        <v>139</v>
      </c>
      <c r="E411" s="3" t="s">
        <v>143</v>
      </c>
      <c r="F411" s="4">
        <v>4608</v>
      </c>
    </row>
    <row r="412" spans="1:6" x14ac:dyDescent="0.3">
      <c r="A412" t="s">
        <v>344</v>
      </c>
      <c r="B412" s="3" t="s">
        <v>112</v>
      </c>
      <c r="C412" s="3" t="s">
        <v>136</v>
      </c>
      <c r="D412" s="3" t="s">
        <v>144</v>
      </c>
      <c r="E412" s="3" t="s">
        <v>138</v>
      </c>
      <c r="F412" s="4">
        <v>200</v>
      </c>
    </row>
    <row r="413" spans="1:6" x14ac:dyDescent="0.3">
      <c r="A413" t="s">
        <v>345</v>
      </c>
      <c r="B413" s="3" t="s">
        <v>112</v>
      </c>
      <c r="C413" s="3" t="s">
        <v>136</v>
      </c>
      <c r="D413" s="3" t="s">
        <v>139</v>
      </c>
      <c r="E413" s="3" t="s">
        <v>145</v>
      </c>
      <c r="F413" s="4">
        <v>3072</v>
      </c>
    </row>
    <row r="414" spans="1:6" x14ac:dyDescent="0.3">
      <c r="A414" t="s">
        <v>346</v>
      </c>
      <c r="B414" s="3" t="s">
        <v>112</v>
      </c>
      <c r="C414" s="3" t="s">
        <v>136</v>
      </c>
      <c r="D414" s="3" t="s">
        <v>146</v>
      </c>
      <c r="E414" s="3" t="s">
        <v>146</v>
      </c>
      <c r="F414" s="4">
        <v>1344</v>
      </c>
    </row>
    <row r="415" spans="1:6" x14ac:dyDescent="0.3">
      <c r="A415" t="s">
        <v>115</v>
      </c>
      <c r="B415" s="3" t="s">
        <v>112</v>
      </c>
      <c r="C415" s="3" t="s">
        <v>136</v>
      </c>
      <c r="D415" s="3" t="s">
        <v>139</v>
      </c>
      <c r="E415" s="3" t="s">
        <v>148</v>
      </c>
      <c r="F415" s="4">
        <v>3584</v>
      </c>
    </row>
    <row r="416" spans="1:6" x14ac:dyDescent="0.3">
      <c r="A416" t="s">
        <v>347</v>
      </c>
      <c r="B416" s="3" t="s">
        <v>112</v>
      </c>
      <c r="C416" s="3" t="s">
        <v>136</v>
      </c>
      <c r="D416" s="3" t="s">
        <v>149</v>
      </c>
      <c r="E416" s="3" t="s">
        <v>138</v>
      </c>
      <c r="F416" s="4">
        <v>4000</v>
      </c>
    </row>
    <row r="417" spans="1:6" x14ac:dyDescent="0.3">
      <c r="A417" t="s">
        <v>348</v>
      </c>
      <c r="B417" s="3" t="s">
        <v>112</v>
      </c>
      <c r="C417" s="3" t="s">
        <v>136</v>
      </c>
      <c r="D417" s="3" t="s">
        <v>139</v>
      </c>
      <c r="E417" s="3" t="s">
        <v>150</v>
      </c>
      <c r="F417" s="4">
        <v>3904</v>
      </c>
    </row>
    <row r="418" spans="1:6" x14ac:dyDescent="0.3">
      <c r="A418" t="s">
        <v>349</v>
      </c>
      <c r="B418" s="3" t="s">
        <v>112</v>
      </c>
      <c r="C418" s="3" t="s">
        <v>136</v>
      </c>
      <c r="D418" s="3" t="s">
        <v>141</v>
      </c>
      <c r="E418" s="3" t="s">
        <v>142</v>
      </c>
      <c r="F418" s="4">
        <v>832</v>
      </c>
    </row>
    <row r="419" spans="1:6" x14ac:dyDescent="0.3">
      <c r="A419" t="s">
        <v>350</v>
      </c>
      <c r="B419" s="3" t="s">
        <v>112</v>
      </c>
      <c r="C419" s="3" t="s">
        <v>136</v>
      </c>
      <c r="D419" s="3" t="s">
        <v>139</v>
      </c>
      <c r="E419" s="3" t="s">
        <v>151</v>
      </c>
      <c r="F419" s="4">
        <v>3200</v>
      </c>
    </row>
    <row r="420" spans="1:6" x14ac:dyDescent="0.3">
      <c r="A420" t="s">
        <v>351</v>
      </c>
      <c r="B420" s="3" t="s">
        <v>112</v>
      </c>
      <c r="C420" s="3" t="s">
        <v>136</v>
      </c>
      <c r="D420" s="3" t="s">
        <v>152</v>
      </c>
      <c r="E420" s="3" t="s">
        <v>146</v>
      </c>
      <c r="F420" s="4">
        <v>3000</v>
      </c>
    </row>
    <row r="421" spans="1:6" x14ac:dyDescent="0.3">
      <c r="A421" t="s">
        <v>352</v>
      </c>
      <c r="B421" s="3" t="s">
        <v>112</v>
      </c>
      <c r="C421" s="3" t="s">
        <v>136</v>
      </c>
      <c r="D421" s="3" t="s">
        <v>139</v>
      </c>
      <c r="E421" s="3" t="s">
        <v>153</v>
      </c>
      <c r="F421" s="4">
        <v>3712</v>
      </c>
    </row>
    <row r="422" spans="1:6" x14ac:dyDescent="0.3">
      <c r="A422" t="s">
        <v>114</v>
      </c>
      <c r="B422" s="3" t="s">
        <v>112</v>
      </c>
      <c r="C422" s="3" t="s">
        <v>136</v>
      </c>
      <c r="D422" s="3" t="s">
        <v>139</v>
      </c>
      <c r="E422" s="3" t="s">
        <v>154</v>
      </c>
      <c r="F422" s="4">
        <v>4416</v>
      </c>
    </row>
    <row r="423" spans="1:6" x14ac:dyDescent="0.3">
      <c r="A423" t="s">
        <v>353</v>
      </c>
      <c r="B423" s="3" t="s">
        <v>112</v>
      </c>
      <c r="C423" s="3" t="s">
        <v>136</v>
      </c>
      <c r="D423" s="3" t="s">
        <v>155</v>
      </c>
      <c r="E423" s="3" t="s">
        <v>146</v>
      </c>
      <c r="F423" s="4">
        <v>4500</v>
      </c>
    </row>
    <row r="424" spans="1:6" x14ac:dyDescent="0.3">
      <c r="A424" t="s">
        <v>354</v>
      </c>
      <c r="B424" s="3" t="s">
        <v>112</v>
      </c>
      <c r="C424" s="3" t="s">
        <v>136</v>
      </c>
      <c r="D424" s="3" t="s">
        <v>137</v>
      </c>
      <c r="E424" s="3" t="s">
        <v>138</v>
      </c>
      <c r="F424" s="4">
        <v>25600</v>
      </c>
    </row>
    <row r="425" spans="1:6" x14ac:dyDescent="0.3">
      <c r="A425" t="s">
        <v>355</v>
      </c>
      <c r="B425" s="3" t="s">
        <v>112</v>
      </c>
      <c r="C425" s="3" t="s">
        <v>136</v>
      </c>
      <c r="D425" s="3" t="s">
        <v>139</v>
      </c>
      <c r="E425" s="3" t="s">
        <v>140</v>
      </c>
      <c r="F425" s="4">
        <v>4160</v>
      </c>
    </row>
    <row r="426" spans="1:6" x14ac:dyDescent="0.3">
      <c r="A426" t="s">
        <v>356</v>
      </c>
      <c r="B426" s="3" t="s">
        <v>112</v>
      </c>
      <c r="C426" s="3" t="s">
        <v>136</v>
      </c>
      <c r="D426" s="3" t="s">
        <v>141</v>
      </c>
      <c r="E426" s="3" t="s">
        <v>142</v>
      </c>
      <c r="F426" s="4">
        <v>768</v>
      </c>
    </row>
    <row r="427" spans="1:6" x14ac:dyDescent="0.3">
      <c r="A427" t="s">
        <v>357</v>
      </c>
      <c r="B427" s="3" t="s">
        <v>112</v>
      </c>
      <c r="C427" s="3" t="s">
        <v>136</v>
      </c>
      <c r="D427" s="3" t="s">
        <v>139</v>
      </c>
      <c r="E427" s="3" t="s">
        <v>143</v>
      </c>
      <c r="F427" s="4">
        <v>4608</v>
      </c>
    </row>
    <row r="428" spans="1:6" x14ac:dyDescent="0.3">
      <c r="A428" t="s">
        <v>111</v>
      </c>
      <c r="B428" s="3" t="s">
        <v>112</v>
      </c>
      <c r="C428" s="3" t="s">
        <v>136</v>
      </c>
      <c r="D428" s="3" t="s">
        <v>144</v>
      </c>
      <c r="E428" s="3" t="s">
        <v>138</v>
      </c>
      <c r="F428" s="4">
        <v>5120</v>
      </c>
    </row>
    <row r="429" spans="1:6" x14ac:dyDescent="0.3">
      <c r="A429" t="s">
        <v>113</v>
      </c>
      <c r="B429" s="3" t="s">
        <v>112</v>
      </c>
      <c r="C429" s="3" t="s">
        <v>136</v>
      </c>
      <c r="D429" s="3" t="s">
        <v>139</v>
      </c>
      <c r="E429" s="3" t="s">
        <v>145</v>
      </c>
      <c r="F429" s="4">
        <v>3072</v>
      </c>
    </row>
    <row r="430" spans="1:6" x14ac:dyDescent="0.3">
      <c r="A430" t="s">
        <v>358</v>
      </c>
      <c r="B430" s="3" t="s">
        <v>112</v>
      </c>
      <c r="C430" s="3" t="s">
        <v>136</v>
      </c>
      <c r="D430" s="3" t="s">
        <v>146</v>
      </c>
      <c r="E430" s="3" t="s">
        <v>146</v>
      </c>
      <c r="F430" s="4">
        <v>1344</v>
      </c>
    </row>
    <row r="431" spans="1:6" x14ac:dyDescent="0.3">
      <c r="A431" t="s">
        <v>359</v>
      </c>
      <c r="B431" s="3" t="s">
        <v>112</v>
      </c>
      <c r="C431" s="3" t="s">
        <v>136</v>
      </c>
      <c r="D431" s="3" t="s">
        <v>139</v>
      </c>
      <c r="E431" s="3" t="s">
        <v>148</v>
      </c>
      <c r="F431" s="4">
        <v>3584</v>
      </c>
    </row>
    <row r="432" spans="1:6" x14ac:dyDescent="0.3">
      <c r="A432" t="s">
        <v>360</v>
      </c>
      <c r="B432" s="3" t="s">
        <v>112</v>
      </c>
      <c r="C432" s="3" t="s">
        <v>136</v>
      </c>
      <c r="D432" s="3" t="s">
        <v>149</v>
      </c>
      <c r="E432" s="3" t="s">
        <v>138</v>
      </c>
      <c r="F432" s="4">
        <v>1920</v>
      </c>
    </row>
    <row r="433" spans="1:6" x14ac:dyDescent="0.3">
      <c r="A433" t="s">
        <v>361</v>
      </c>
      <c r="B433" s="3" t="s">
        <v>112</v>
      </c>
      <c r="C433" s="3" t="s">
        <v>136</v>
      </c>
      <c r="D433" s="3" t="s">
        <v>139</v>
      </c>
      <c r="E433" s="3" t="s">
        <v>150</v>
      </c>
      <c r="F433" s="4">
        <v>3904</v>
      </c>
    </row>
    <row r="434" spans="1:6" x14ac:dyDescent="0.3">
      <c r="A434" t="s">
        <v>119</v>
      </c>
      <c r="B434" s="3" t="s">
        <v>112</v>
      </c>
      <c r="C434" s="3" t="s">
        <v>136</v>
      </c>
      <c r="D434" s="3" t="s">
        <v>141</v>
      </c>
      <c r="E434" s="3" t="s">
        <v>142</v>
      </c>
      <c r="F434" s="4">
        <v>832</v>
      </c>
    </row>
    <row r="435" spans="1:6" x14ac:dyDescent="0.3">
      <c r="A435" t="s">
        <v>118</v>
      </c>
      <c r="B435" s="3" t="s">
        <v>112</v>
      </c>
      <c r="C435" s="3" t="s">
        <v>136</v>
      </c>
      <c r="D435" s="3" t="s">
        <v>139</v>
      </c>
      <c r="E435" s="3" t="s">
        <v>151</v>
      </c>
      <c r="F435" s="4">
        <v>3200</v>
      </c>
    </row>
    <row r="436" spans="1:6" x14ac:dyDescent="0.3">
      <c r="A436" t="s">
        <v>362</v>
      </c>
      <c r="B436" s="3" t="s">
        <v>112</v>
      </c>
      <c r="C436" s="3" t="s">
        <v>136</v>
      </c>
      <c r="D436" s="3" t="s">
        <v>152</v>
      </c>
      <c r="E436" s="3" t="s">
        <v>146</v>
      </c>
      <c r="F436" s="4">
        <v>2240</v>
      </c>
    </row>
    <row r="437" spans="1:6" x14ac:dyDescent="0.3">
      <c r="A437" t="s">
        <v>363</v>
      </c>
      <c r="B437" s="3" t="s">
        <v>112</v>
      </c>
      <c r="C437" s="3" t="s">
        <v>136</v>
      </c>
      <c r="D437" s="3" t="s">
        <v>139</v>
      </c>
      <c r="E437" s="3" t="s">
        <v>153</v>
      </c>
      <c r="F437" s="4">
        <v>3712</v>
      </c>
    </row>
    <row r="438" spans="1:6" x14ac:dyDescent="0.3">
      <c r="A438" t="s">
        <v>364</v>
      </c>
      <c r="B438" s="3" t="s">
        <v>112</v>
      </c>
      <c r="C438" s="3" t="s">
        <v>136</v>
      </c>
      <c r="D438" s="3" t="s">
        <v>139</v>
      </c>
      <c r="E438" s="3" t="s">
        <v>154</v>
      </c>
      <c r="F438" s="4">
        <v>4416</v>
      </c>
    </row>
    <row r="439" spans="1:6" x14ac:dyDescent="0.3">
      <c r="A439" t="s">
        <v>365</v>
      </c>
      <c r="B439" s="3" t="s">
        <v>121</v>
      </c>
      <c r="C439" s="3" t="s">
        <v>136</v>
      </c>
      <c r="D439" s="3" t="s">
        <v>137</v>
      </c>
      <c r="E439" s="3" t="s">
        <v>138</v>
      </c>
      <c r="F439" s="4">
        <v>25600</v>
      </c>
    </row>
    <row r="440" spans="1:6" x14ac:dyDescent="0.3">
      <c r="A440" t="s">
        <v>120</v>
      </c>
      <c r="B440" s="3" t="s">
        <v>121</v>
      </c>
      <c r="C440" s="3" t="s">
        <v>136</v>
      </c>
      <c r="D440" s="3" t="s">
        <v>139</v>
      </c>
      <c r="E440" s="3" t="s">
        <v>140</v>
      </c>
      <c r="F440" s="4">
        <v>4160</v>
      </c>
    </row>
    <row r="441" spans="1:6" x14ac:dyDescent="0.3">
      <c r="A441" t="s">
        <v>366</v>
      </c>
      <c r="B441" s="3" t="s">
        <v>121</v>
      </c>
      <c r="C441" s="3" t="s">
        <v>136</v>
      </c>
      <c r="D441" s="3" t="s">
        <v>141</v>
      </c>
      <c r="E441" s="3" t="s">
        <v>142</v>
      </c>
      <c r="F441" s="4">
        <v>768</v>
      </c>
    </row>
    <row r="442" spans="1:6" x14ac:dyDescent="0.3">
      <c r="A442" t="s">
        <v>367</v>
      </c>
      <c r="B442" s="3" t="s">
        <v>121</v>
      </c>
      <c r="C442" s="3" t="s">
        <v>136</v>
      </c>
      <c r="D442" s="3" t="s">
        <v>139</v>
      </c>
      <c r="E442" s="3" t="s">
        <v>143</v>
      </c>
      <c r="F442" s="4">
        <v>4608</v>
      </c>
    </row>
    <row r="443" spans="1:6" x14ac:dyDescent="0.3">
      <c r="A443" t="s">
        <v>368</v>
      </c>
      <c r="B443" s="3" t="s">
        <v>121</v>
      </c>
      <c r="C443" s="3" t="s">
        <v>136</v>
      </c>
      <c r="D443" s="3" t="s">
        <v>144</v>
      </c>
      <c r="E443" s="3" t="s">
        <v>138</v>
      </c>
      <c r="F443" s="4">
        <v>5120</v>
      </c>
    </row>
    <row r="444" spans="1:6" x14ac:dyDescent="0.3">
      <c r="A444" t="s">
        <v>126</v>
      </c>
      <c r="B444" s="3" t="s">
        <v>121</v>
      </c>
      <c r="C444" s="3" t="s">
        <v>136</v>
      </c>
      <c r="D444" s="3" t="s">
        <v>139</v>
      </c>
      <c r="E444" s="3" t="s">
        <v>145</v>
      </c>
      <c r="F444" s="4">
        <v>3072</v>
      </c>
    </row>
    <row r="445" spans="1:6" x14ac:dyDescent="0.3">
      <c r="A445" t="s">
        <v>369</v>
      </c>
      <c r="B445" s="3" t="s">
        <v>121</v>
      </c>
      <c r="C445" s="3" t="s">
        <v>136</v>
      </c>
      <c r="D445" s="3" t="s">
        <v>146</v>
      </c>
      <c r="E445" s="3" t="s">
        <v>146</v>
      </c>
      <c r="F445" s="4">
        <v>6000</v>
      </c>
    </row>
    <row r="446" spans="1:6" x14ac:dyDescent="0.3">
      <c r="A446" t="s">
        <v>370</v>
      </c>
      <c r="B446" s="3" t="s">
        <v>121</v>
      </c>
      <c r="C446" s="3" t="s">
        <v>136</v>
      </c>
      <c r="D446" s="3" t="s">
        <v>139</v>
      </c>
      <c r="E446" s="3" t="s">
        <v>148</v>
      </c>
      <c r="F446" s="4">
        <v>3584</v>
      </c>
    </row>
    <row r="447" spans="1:6" x14ac:dyDescent="0.3">
      <c r="A447" t="s">
        <v>371</v>
      </c>
      <c r="B447" s="3" t="s">
        <v>121</v>
      </c>
      <c r="C447" s="3" t="s">
        <v>136</v>
      </c>
      <c r="D447" s="3" t="s">
        <v>149</v>
      </c>
      <c r="E447" s="3" t="s">
        <v>138</v>
      </c>
      <c r="F447" s="4">
        <v>1920</v>
      </c>
    </row>
    <row r="448" spans="1:6" x14ac:dyDescent="0.3">
      <c r="A448" t="s">
        <v>372</v>
      </c>
      <c r="B448" s="3" t="s">
        <v>121</v>
      </c>
      <c r="C448" s="3" t="s">
        <v>136</v>
      </c>
      <c r="D448" s="3" t="s">
        <v>139</v>
      </c>
      <c r="E448" s="3" t="s">
        <v>150</v>
      </c>
      <c r="F448" s="4">
        <v>3904</v>
      </c>
    </row>
    <row r="449" spans="1:6" x14ac:dyDescent="0.3">
      <c r="A449" t="s">
        <v>373</v>
      </c>
      <c r="B449" s="3" t="s">
        <v>121</v>
      </c>
      <c r="C449" s="3" t="s">
        <v>136</v>
      </c>
      <c r="D449" s="3" t="s">
        <v>141</v>
      </c>
      <c r="E449" s="3" t="s">
        <v>142</v>
      </c>
      <c r="F449" s="4">
        <v>8000</v>
      </c>
    </row>
    <row r="450" spans="1:6" x14ac:dyDescent="0.3">
      <c r="A450" t="s">
        <v>374</v>
      </c>
      <c r="B450" s="3" t="s">
        <v>121</v>
      </c>
      <c r="C450" s="3" t="s">
        <v>136</v>
      </c>
      <c r="D450" s="3" t="s">
        <v>139</v>
      </c>
      <c r="E450" s="3" t="s">
        <v>151</v>
      </c>
      <c r="F450" s="4">
        <v>3200</v>
      </c>
    </row>
    <row r="451" spans="1:6" x14ac:dyDescent="0.3">
      <c r="A451" t="s">
        <v>125</v>
      </c>
      <c r="B451" s="3" t="s">
        <v>121</v>
      </c>
      <c r="C451" s="3" t="s">
        <v>136</v>
      </c>
      <c r="D451" s="3" t="s">
        <v>152</v>
      </c>
      <c r="E451" s="3" t="s">
        <v>146</v>
      </c>
      <c r="F451" s="4">
        <v>2240</v>
      </c>
    </row>
    <row r="452" spans="1:6" x14ac:dyDescent="0.3">
      <c r="A452" t="s">
        <v>375</v>
      </c>
      <c r="B452" s="3" t="s">
        <v>121</v>
      </c>
      <c r="C452" s="3" t="s">
        <v>136</v>
      </c>
      <c r="D452" s="3" t="s">
        <v>139</v>
      </c>
      <c r="E452" s="3" t="s">
        <v>153</v>
      </c>
      <c r="F452" s="4">
        <v>3712</v>
      </c>
    </row>
    <row r="453" spans="1:6" x14ac:dyDescent="0.3">
      <c r="A453" t="s">
        <v>123</v>
      </c>
      <c r="B453" s="3" t="s">
        <v>121</v>
      </c>
      <c r="C453" s="3" t="s">
        <v>136</v>
      </c>
      <c r="D453" s="3" t="s">
        <v>139</v>
      </c>
      <c r="E453" s="3" t="s">
        <v>154</v>
      </c>
      <c r="F453" s="4">
        <v>4416</v>
      </c>
    </row>
    <row r="454" spans="1:6" x14ac:dyDescent="0.3">
      <c r="A454" t="s">
        <v>376</v>
      </c>
      <c r="B454" s="3" t="s">
        <v>121</v>
      </c>
      <c r="C454" s="3" t="s">
        <v>136</v>
      </c>
      <c r="D454" s="3" t="s">
        <v>155</v>
      </c>
      <c r="E454" s="3" t="s">
        <v>146</v>
      </c>
      <c r="F454" s="4">
        <v>1600</v>
      </c>
    </row>
    <row r="455" spans="1:6" x14ac:dyDescent="0.3">
      <c r="A455" t="s">
        <v>377</v>
      </c>
      <c r="B455" s="3" t="s">
        <v>121</v>
      </c>
      <c r="C455" s="3" t="s">
        <v>136</v>
      </c>
      <c r="D455" s="3" t="s">
        <v>137</v>
      </c>
      <c r="E455" s="3" t="s">
        <v>138</v>
      </c>
      <c r="F455" s="4">
        <v>25600</v>
      </c>
    </row>
    <row r="456" spans="1:6" x14ac:dyDescent="0.3">
      <c r="A456" t="s">
        <v>378</v>
      </c>
      <c r="B456" s="3" t="s">
        <v>121</v>
      </c>
      <c r="C456" s="3" t="s">
        <v>136</v>
      </c>
      <c r="D456" s="3" t="s">
        <v>139</v>
      </c>
      <c r="E456" s="3" t="s">
        <v>140</v>
      </c>
      <c r="F456" s="4">
        <v>4160</v>
      </c>
    </row>
    <row r="457" spans="1:6" x14ac:dyDescent="0.3">
      <c r="A457" t="s">
        <v>379</v>
      </c>
      <c r="B457" s="3" t="s">
        <v>121</v>
      </c>
      <c r="C457" s="3" t="s">
        <v>136</v>
      </c>
      <c r="D457" s="3" t="s">
        <v>141</v>
      </c>
      <c r="E457" s="3" t="s">
        <v>142</v>
      </c>
      <c r="F457" s="4">
        <v>768</v>
      </c>
    </row>
    <row r="458" spans="1:6" x14ac:dyDescent="0.3">
      <c r="A458" t="s">
        <v>380</v>
      </c>
      <c r="B458" s="3" t="s">
        <v>121</v>
      </c>
      <c r="C458" s="3" t="s">
        <v>136</v>
      </c>
      <c r="D458" s="3" t="s">
        <v>139</v>
      </c>
      <c r="E458" s="3" t="s">
        <v>143</v>
      </c>
      <c r="F458" s="4">
        <v>4608</v>
      </c>
    </row>
    <row r="459" spans="1:6" x14ac:dyDescent="0.3">
      <c r="A459" t="s">
        <v>124</v>
      </c>
      <c r="B459" s="3" t="s">
        <v>121</v>
      </c>
      <c r="C459" s="3" t="s">
        <v>136</v>
      </c>
      <c r="D459" s="3" t="s">
        <v>144</v>
      </c>
      <c r="E459" s="3" t="s">
        <v>138</v>
      </c>
      <c r="F459" s="4">
        <v>5120</v>
      </c>
    </row>
    <row r="460" spans="1:6" x14ac:dyDescent="0.3">
      <c r="A460" t="s">
        <v>381</v>
      </c>
      <c r="B460" s="3" t="s">
        <v>121</v>
      </c>
      <c r="C460" s="3" t="s">
        <v>136</v>
      </c>
      <c r="D460" s="3" t="s">
        <v>139</v>
      </c>
      <c r="E460" s="3" t="s">
        <v>145</v>
      </c>
      <c r="F460" s="4">
        <v>3072</v>
      </c>
    </row>
    <row r="461" spans="1:6" x14ac:dyDescent="0.3">
      <c r="A461" t="s">
        <v>382</v>
      </c>
      <c r="B461" s="3" t="s">
        <v>121</v>
      </c>
      <c r="C461" s="3" t="s">
        <v>136</v>
      </c>
      <c r="D461" s="3" t="s">
        <v>146</v>
      </c>
      <c r="E461" s="3" t="s">
        <v>146</v>
      </c>
      <c r="F461" s="4">
        <v>1344</v>
      </c>
    </row>
    <row r="462" spans="1:6" x14ac:dyDescent="0.3">
      <c r="A462" t="s">
        <v>383</v>
      </c>
      <c r="B462" s="3" t="s">
        <v>121</v>
      </c>
      <c r="C462" s="3" t="s">
        <v>136</v>
      </c>
      <c r="D462" s="3" t="s">
        <v>139</v>
      </c>
      <c r="E462" s="3" t="s">
        <v>148</v>
      </c>
      <c r="F462" s="4">
        <v>3584</v>
      </c>
    </row>
    <row r="463" spans="1:6" x14ac:dyDescent="0.3">
      <c r="A463" t="s">
        <v>127</v>
      </c>
      <c r="B463" s="3" t="s">
        <v>121</v>
      </c>
      <c r="C463" s="3" t="s">
        <v>136</v>
      </c>
      <c r="D463" s="3" t="s">
        <v>149</v>
      </c>
      <c r="E463" s="3" t="s">
        <v>138</v>
      </c>
      <c r="F463" s="4">
        <v>1920</v>
      </c>
    </row>
    <row r="464" spans="1:6" x14ac:dyDescent="0.3">
      <c r="A464" t="s">
        <v>384</v>
      </c>
      <c r="B464" s="3" t="s">
        <v>121</v>
      </c>
      <c r="C464" s="3" t="s">
        <v>136</v>
      </c>
      <c r="D464" s="3" t="s">
        <v>139</v>
      </c>
      <c r="E464" s="3" t="s">
        <v>150</v>
      </c>
      <c r="F464" s="4">
        <v>3904</v>
      </c>
    </row>
    <row r="465" spans="1:6" x14ac:dyDescent="0.3">
      <c r="A465" t="s">
        <v>122</v>
      </c>
      <c r="B465" s="3" t="s">
        <v>121</v>
      </c>
      <c r="C465" s="3" t="s">
        <v>136</v>
      </c>
      <c r="D465" s="3" t="s">
        <v>141</v>
      </c>
      <c r="E465" s="3" t="s">
        <v>142</v>
      </c>
      <c r="F465" s="4">
        <v>832</v>
      </c>
    </row>
    <row r="466" spans="1:6" x14ac:dyDescent="0.3">
      <c r="A466" t="s">
        <v>385</v>
      </c>
      <c r="B466" s="3" t="s">
        <v>121</v>
      </c>
      <c r="C466" s="3" t="s">
        <v>136</v>
      </c>
      <c r="D466" s="3" t="s">
        <v>139</v>
      </c>
      <c r="E466" s="3" t="s">
        <v>151</v>
      </c>
      <c r="F466" s="4">
        <v>3200</v>
      </c>
    </row>
    <row r="467" spans="1:6" x14ac:dyDescent="0.3">
      <c r="A467" t="s">
        <v>386</v>
      </c>
      <c r="B467" s="3" t="s">
        <v>121</v>
      </c>
      <c r="C467" s="3" t="s">
        <v>136</v>
      </c>
      <c r="D467" s="3" t="s">
        <v>152</v>
      </c>
      <c r="E467" s="3" t="s">
        <v>146</v>
      </c>
      <c r="F467" s="4">
        <v>2240</v>
      </c>
    </row>
    <row r="468" spans="1:6" x14ac:dyDescent="0.3">
      <c r="A468" t="s">
        <v>387</v>
      </c>
      <c r="B468" s="3" t="s">
        <v>121</v>
      </c>
      <c r="C468" s="3" t="s">
        <v>136</v>
      </c>
      <c r="D468" s="3" t="s">
        <v>139</v>
      </c>
      <c r="E468" s="3" t="s">
        <v>153</v>
      </c>
      <c r="F468" s="4">
        <v>3712</v>
      </c>
    </row>
    <row r="469" spans="1:6" x14ac:dyDescent="0.3">
      <c r="A469" t="s">
        <v>388</v>
      </c>
      <c r="B469" s="3" t="s">
        <v>129</v>
      </c>
      <c r="C469" s="3" t="s">
        <v>136</v>
      </c>
      <c r="D469" s="3" t="s">
        <v>137</v>
      </c>
      <c r="E469" s="3" t="s">
        <v>138</v>
      </c>
      <c r="F469" s="4">
        <v>25600</v>
      </c>
    </row>
    <row r="470" spans="1:6" x14ac:dyDescent="0.3">
      <c r="A470" t="s">
        <v>389</v>
      </c>
      <c r="B470" s="3" t="s">
        <v>129</v>
      </c>
      <c r="C470" s="3" t="s">
        <v>136</v>
      </c>
      <c r="D470" s="3" t="s">
        <v>139</v>
      </c>
      <c r="E470" s="3" t="s">
        <v>140</v>
      </c>
      <c r="F470" s="4">
        <v>4160</v>
      </c>
    </row>
    <row r="471" spans="1:6" x14ac:dyDescent="0.3">
      <c r="A471" t="s">
        <v>134</v>
      </c>
      <c r="B471" s="3" t="s">
        <v>129</v>
      </c>
      <c r="C471" s="3" t="s">
        <v>136</v>
      </c>
      <c r="D471" s="3" t="s">
        <v>141</v>
      </c>
      <c r="E471" s="3" t="s">
        <v>142</v>
      </c>
      <c r="F471" s="4">
        <v>768</v>
      </c>
    </row>
    <row r="472" spans="1:6" x14ac:dyDescent="0.3">
      <c r="A472" t="s">
        <v>390</v>
      </c>
      <c r="B472" s="3" t="s">
        <v>129</v>
      </c>
      <c r="C472" s="3" t="s">
        <v>136</v>
      </c>
      <c r="D472" s="3" t="s">
        <v>139</v>
      </c>
      <c r="E472" s="3" t="s">
        <v>143</v>
      </c>
      <c r="F472" s="4">
        <v>4608</v>
      </c>
    </row>
    <row r="473" spans="1:6" x14ac:dyDescent="0.3">
      <c r="A473" t="s">
        <v>391</v>
      </c>
      <c r="B473" s="3" t="s">
        <v>129</v>
      </c>
      <c r="C473" s="3" t="s">
        <v>136</v>
      </c>
      <c r="D473" s="3" t="s">
        <v>144</v>
      </c>
      <c r="E473" s="3" t="s">
        <v>138</v>
      </c>
      <c r="F473" s="4">
        <v>2000</v>
      </c>
    </row>
    <row r="474" spans="1:6" x14ac:dyDescent="0.3">
      <c r="A474" t="s">
        <v>392</v>
      </c>
      <c r="B474" s="3" t="s">
        <v>129</v>
      </c>
      <c r="C474" s="3" t="s">
        <v>136</v>
      </c>
      <c r="D474" s="3" t="s">
        <v>139</v>
      </c>
      <c r="E474" s="3" t="s">
        <v>145</v>
      </c>
      <c r="F474" s="4">
        <v>3072</v>
      </c>
    </row>
    <row r="475" spans="1:6" x14ac:dyDescent="0.3">
      <c r="A475" t="s">
        <v>131</v>
      </c>
      <c r="B475" s="3" t="s">
        <v>129</v>
      </c>
      <c r="C475" s="3" t="s">
        <v>136</v>
      </c>
      <c r="D475" s="3" t="s">
        <v>146</v>
      </c>
      <c r="E475" s="3" t="s">
        <v>146</v>
      </c>
      <c r="F475" s="4">
        <v>1344</v>
      </c>
    </row>
    <row r="476" spans="1:6" x14ac:dyDescent="0.3">
      <c r="A476" t="s">
        <v>133</v>
      </c>
      <c r="B476" s="3" t="s">
        <v>129</v>
      </c>
      <c r="C476" s="3" t="s">
        <v>136</v>
      </c>
      <c r="D476" s="3" t="s">
        <v>139</v>
      </c>
      <c r="E476" s="3" t="s">
        <v>148</v>
      </c>
      <c r="F476" s="4">
        <v>3584</v>
      </c>
    </row>
    <row r="477" spans="1:6" x14ac:dyDescent="0.3">
      <c r="A477" t="s">
        <v>393</v>
      </c>
      <c r="B477" s="3" t="s">
        <v>129</v>
      </c>
      <c r="C477" s="3" t="s">
        <v>136</v>
      </c>
      <c r="D477" s="3" t="s">
        <v>149</v>
      </c>
      <c r="E477" s="3" t="s">
        <v>138</v>
      </c>
      <c r="F477" s="4">
        <v>3500</v>
      </c>
    </row>
    <row r="478" spans="1:6" x14ac:dyDescent="0.3">
      <c r="A478" t="s">
        <v>394</v>
      </c>
      <c r="B478" s="3" t="s">
        <v>129</v>
      </c>
      <c r="C478" s="3" t="s">
        <v>136</v>
      </c>
      <c r="D478" s="3" t="s">
        <v>139</v>
      </c>
      <c r="E478" s="3" t="s">
        <v>150</v>
      </c>
      <c r="F478" s="4">
        <v>3904</v>
      </c>
    </row>
    <row r="479" spans="1:6" x14ac:dyDescent="0.3">
      <c r="A479" t="s">
        <v>395</v>
      </c>
      <c r="B479" s="3" t="s">
        <v>129</v>
      </c>
      <c r="C479" s="3" t="s">
        <v>136</v>
      </c>
      <c r="D479" s="3" t="s">
        <v>141</v>
      </c>
      <c r="E479" s="3" t="s">
        <v>142</v>
      </c>
      <c r="F479" s="4">
        <v>832</v>
      </c>
    </row>
    <row r="480" spans="1:6" x14ac:dyDescent="0.3">
      <c r="A480" t="s">
        <v>396</v>
      </c>
      <c r="B480" s="3" t="s">
        <v>129</v>
      </c>
      <c r="C480" s="3" t="s">
        <v>136</v>
      </c>
      <c r="D480" s="3" t="s">
        <v>139</v>
      </c>
      <c r="E480" s="3" t="s">
        <v>151</v>
      </c>
      <c r="F480" s="4">
        <v>3200</v>
      </c>
    </row>
    <row r="481" spans="1:6" x14ac:dyDescent="0.3">
      <c r="A481" t="s">
        <v>397</v>
      </c>
      <c r="B481" s="3" t="s">
        <v>129</v>
      </c>
      <c r="C481" s="3" t="s">
        <v>136</v>
      </c>
      <c r="D481" s="3" t="s">
        <v>152</v>
      </c>
      <c r="E481" s="3" t="s">
        <v>146</v>
      </c>
      <c r="F481" s="4">
        <v>2999</v>
      </c>
    </row>
    <row r="482" spans="1:6" x14ac:dyDescent="0.3">
      <c r="A482" t="s">
        <v>398</v>
      </c>
      <c r="B482" s="3" t="s">
        <v>129</v>
      </c>
      <c r="C482" s="3" t="s">
        <v>136</v>
      </c>
      <c r="D482" s="3" t="s">
        <v>139</v>
      </c>
      <c r="E482" s="3" t="s">
        <v>153</v>
      </c>
      <c r="F482" s="4">
        <v>3712</v>
      </c>
    </row>
    <row r="483" spans="1:6" x14ac:dyDescent="0.3">
      <c r="A483" t="s">
        <v>135</v>
      </c>
      <c r="B483" s="3" t="s">
        <v>129</v>
      </c>
      <c r="C483" s="3" t="s">
        <v>136</v>
      </c>
      <c r="D483" s="3" t="s">
        <v>139</v>
      </c>
      <c r="E483" s="3" t="s">
        <v>154</v>
      </c>
      <c r="F483" s="4">
        <v>4416</v>
      </c>
    </row>
    <row r="484" spans="1:6" x14ac:dyDescent="0.3">
      <c r="A484" t="s">
        <v>399</v>
      </c>
      <c r="B484" s="3" t="s">
        <v>129</v>
      </c>
      <c r="C484" s="3" t="s">
        <v>136</v>
      </c>
      <c r="D484" s="3" t="s">
        <v>155</v>
      </c>
      <c r="E484" s="3" t="s">
        <v>146</v>
      </c>
      <c r="F484" s="4">
        <v>6000</v>
      </c>
    </row>
    <row r="485" spans="1:6" x14ac:dyDescent="0.3">
      <c r="A485" t="s">
        <v>400</v>
      </c>
      <c r="B485" s="3" t="s">
        <v>129</v>
      </c>
      <c r="C485" s="3" t="s">
        <v>136</v>
      </c>
      <c r="D485" s="3" t="s">
        <v>137</v>
      </c>
      <c r="E485" s="3" t="s">
        <v>138</v>
      </c>
      <c r="F485" s="4">
        <v>25600</v>
      </c>
    </row>
    <row r="486" spans="1:6" x14ac:dyDescent="0.3">
      <c r="A486" t="s">
        <v>128</v>
      </c>
      <c r="B486" s="3" t="s">
        <v>129</v>
      </c>
      <c r="C486" s="3" t="s">
        <v>136</v>
      </c>
      <c r="D486" s="3" t="s">
        <v>139</v>
      </c>
      <c r="E486" s="3" t="s">
        <v>140</v>
      </c>
      <c r="F486" s="4">
        <v>4160</v>
      </c>
    </row>
    <row r="487" spans="1:6" x14ac:dyDescent="0.3">
      <c r="A487" t="s">
        <v>130</v>
      </c>
      <c r="B487" s="3" t="s">
        <v>129</v>
      </c>
      <c r="C487" s="3" t="s">
        <v>136</v>
      </c>
      <c r="D487" s="3" t="s">
        <v>141</v>
      </c>
      <c r="E487" s="3" t="s">
        <v>142</v>
      </c>
      <c r="F487" s="4">
        <v>768</v>
      </c>
    </row>
    <row r="488" spans="1:6" x14ac:dyDescent="0.3">
      <c r="A488" t="s">
        <v>401</v>
      </c>
      <c r="B488" s="3" t="s">
        <v>129</v>
      </c>
      <c r="C488" s="3" t="s">
        <v>136</v>
      </c>
      <c r="D488" s="3" t="s">
        <v>139</v>
      </c>
      <c r="E488" s="3" t="s">
        <v>143</v>
      </c>
      <c r="F488" s="4">
        <v>4608</v>
      </c>
    </row>
    <row r="489" spans="1:6" x14ac:dyDescent="0.3">
      <c r="A489" t="s">
        <v>402</v>
      </c>
      <c r="B489" s="3" t="s">
        <v>129</v>
      </c>
      <c r="C489" s="3" t="s">
        <v>136</v>
      </c>
      <c r="D489" s="3" t="s">
        <v>144</v>
      </c>
      <c r="E489" s="3" t="s">
        <v>138</v>
      </c>
      <c r="F489" s="4">
        <v>5120</v>
      </c>
    </row>
    <row r="490" spans="1:6" x14ac:dyDescent="0.3">
      <c r="A490" t="s">
        <v>403</v>
      </c>
      <c r="B490" s="3" t="s">
        <v>129</v>
      </c>
      <c r="C490" s="3" t="s">
        <v>136</v>
      </c>
      <c r="D490" s="3" t="s">
        <v>139</v>
      </c>
      <c r="E490" s="3" t="s">
        <v>145</v>
      </c>
      <c r="F490" s="4">
        <v>3072</v>
      </c>
    </row>
    <row r="491" spans="1:6" x14ac:dyDescent="0.3">
      <c r="A491" t="s">
        <v>404</v>
      </c>
      <c r="B491" s="3" t="s">
        <v>129</v>
      </c>
      <c r="C491" s="3" t="s">
        <v>136</v>
      </c>
      <c r="D491" s="3" t="s">
        <v>146</v>
      </c>
      <c r="E491" s="3" t="s">
        <v>146</v>
      </c>
      <c r="F491" s="4">
        <v>1344</v>
      </c>
    </row>
    <row r="492" spans="1:6" x14ac:dyDescent="0.3">
      <c r="A492" t="s">
        <v>405</v>
      </c>
      <c r="B492" s="3" t="s">
        <v>129</v>
      </c>
      <c r="C492" s="3" t="s">
        <v>136</v>
      </c>
      <c r="D492" s="3" t="s">
        <v>139</v>
      </c>
      <c r="E492" s="3" t="s">
        <v>148</v>
      </c>
      <c r="F492" s="4">
        <v>3584</v>
      </c>
    </row>
    <row r="493" spans="1:6" x14ac:dyDescent="0.3">
      <c r="A493" t="s">
        <v>406</v>
      </c>
      <c r="B493" s="3" t="s">
        <v>129</v>
      </c>
      <c r="C493" s="3" t="s">
        <v>136</v>
      </c>
      <c r="D493" s="3" t="s">
        <v>149</v>
      </c>
      <c r="E493" s="3" t="s">
        <v>138</v>
      </c>
      <c r="F493" s="4">
        <v>1920</v>
      </c>
    </row>
    <row r="494" spans="1:6" x14ac:dyDescent="0.3">
      <c r="A494" t="s">
        <v>407</v>
      </c>
      <c r="B494" s="3" t="s">
        <v>129</v>
      </c>
      <c r="C494" s="3" t="s">
        <v>136</v>
      </c>
      <c r="D494" s="3" t="s">
        <v>139</v>
      </c>
      <c r="E494" s="3" t="s">
        <v>150</v>
      </c>
      <c r="F494" s="4">
        <v>3904</v>
      </c>
    </row>
    <row r="495" spans="1:6" x14ac:dyDescent="0.3">
      <c r="A495" t="s">
        <v>408</v>
      </c>
      <c r="B495" s="3" t="s">
        <v>129</v>
      </c>
      <c r="C495" s="3" t="s">
        <v>136</v>
      </c>
      <c r="D495" s="3" t="s">
        <v>141</v>
      </c>
      <c r="E495" s="3" t="s">
        <v>142</v>
      </c>
      <c r="F495" s="4">
        <v>832</v>
      </c>
    </row>
    <row r="496" spans="1:6" x14ac:dyDescent="0.3">
      <c r="A496" t="s">
        <v>132</v>
      </c>
      <c r="B496" s="3" t="s">
        <v>129</v>
      </c>
      <c r="C496" s="3" t="s">
        <v>136</v>
      </c>
      <c r="D496" s="3" t="s">
        <v>139</v>
      </c>
      <c r="E496" s="3" t="s">
        <v>151</v>
      </c>
      <c r="F496" s="4">
        <v>3200</v>
      </c>
    </row>
    <row r="497" spans="1:6" x14ac:dyDescent="0.3">
      <c r="A497" t="s">
        <v>409</v>
      </c>
      <c r="B497" s="3" t="s">
        <v>129</v>
      </c>
      <c r="C497" s="3" t="s">
        <v>136</v>
      </c>
      <c r="D497" s="3" t="s">
        <v>152</v>
      </c>
      <c r="E497" s="3" t="s">
        <v>146</v>
      </c>
      <c r="F497" s="4">
        <v>2240</v>
      </c>
    </row>
    <row r="498" spans="1:6" x14ac:dyDescent="0.3">
      <c r="A498" t="s">
        <v>410</v>
      </c>
      <c r="B498" s="3" t="s">
        <v>129</v>
      </c>
      <c r="C498" s="3" t="s">
        <v>136</v>
      </c>
      <c r="D498" s="3" t="s">
        <v>139</v>
      </c>
      <c r="E498" s="3" t="s">
        <v>153</v>
      </c>
      <c r="F498" s="4">
        <v>3712</v>
      </c>
    </row>
    <row r="499" spans="1:6" x14ac:dyDescent="0.3">
      <c r="A499" t="s">
        <v>411</v>
      </c>
      <c r="B499" s="3" t="s">
        <v>129</v>
      </c>
      <c r="C499" s="3" t="s">
        <v>136</v>
      </c>
      <c r="D499" s="3" t="s">
        <v>139</v>
      </c>
      <c r="E499" s="3" t="s">
        <v>154</v>
      </c>
      <c r="F499" s="4">
        <v>4416</v>
      </c>
    </row>
    <row r="500" spans="1:6" x14ac:dyDescent="0.3">
      <c r="A500" t="s">
        <v>135</v>
      </c>
      <c r="B500" s="3" t="s">
        <v>129</v>
      </c>
      <c r="C500" s="3" t="s">
        <v>7</v>
      </c>
      <c r="D500" s="3" t="s">
        <v>8</v>
      </c>
      <c r="E500" s="3" t="s">
        <v>41</v>
      </c>
      <c r="F500" s="4">
        <v>1055.4768750000001</v>
      </c>
    </row>
    <row r="501" spans="1:6" x14ac:dyDescent="0.3">
      <c r="A501" t="s">
        <v>117</v>
      </c>
      <c r="B501" s="3" t="s">
        <v>129</v>
      </c>
      <c r="C501" s="3" t="s">
        <v>7</v>
      </c>
      <c r="D501" s="3" t="s">
        <v>22</v>
      </c>
      <c r="E501" s="3" t="s">
        <v>39</v>
      </c>
      <c r="F501" s="4">
        <v>35000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db0ba53e-1dc5-4ed7-8881-11f125da468b">
      <Terms xmlns="http://schemas.microsoft.com/office/infopath/2007/PartnerControls"/>
    </lcf76f155ced4ddcb4097134ff3c332f>
    <TaxCatchAll xmlns="4d07b3ec-8c3b-4de2-8537-6a594c5b2a50"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C3A24CEB0E906C4F895CA8E1DA6E79B7" ma:contentTypeVersion="14" ma:contentTypeDescription="Create a new document." ma:contentTypeScope="" ma:versionID="c2064b714a0a786a59cfda85fef5a8de">
  <xsd:schema xmlns:xsd="http://www.w3.org/2001/XMLSchema" xmlns:xs="http://www.w3.org/2001/XMLSchema" xmlns:p="http://schemas.microsoft.com/office/2006/metadata/properties" xmlns:ns2="db0ba53e-1dc5-4ed7-8881-11f125da468b" xmlns:ns3="4d07b3ec-8c3b-4de2-8537-6a594c5b2a50" targetNamespace="http://schemas.microsoft.com/office/2006/metadata/properties" ma:root="true" ma:fieldsID="4ab52525d5bbb250778ff9666f668b7f" ns2:_="" ns3:_="">
    <xsd:import namespace="db0ba53e-1dc5-4ed7-8881-11f125da468b"/>
    <xsd:import namespace="4d07b3ec-8c3b-4de2-8537-6a594c5b2a50"/>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DateTaken" minOccurs="0"/>
                <xsd:element ref="ns3:SharedWithUsers" minOccurs="0"/>
                <xsd:element ref="ns3:SharedWithDetail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b0ba53e-1dc5-4ed7-8881-11f125da468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80f99ef8-ea5b-44e7-83e2-69542dda650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d07b3ec-8c3b-4de2-8537-6a594c5b2a50"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922f2c27-e328-46cc-8fe7-20ece0ffefdb}" ma:internalName="TaxCatchAll" ma:showField="CatchAllData" ma:web="4d07b3ec-8c3b-4de2-8537-6a594c5b2a50">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F1E00B1-E544-42BC-8649-36BD748C5714}">
  <ds:schemaRefs>
    <ds:schemaRef ds:uri="http://schemas.microsoft.com/sharepoint/v3/contenttype/forms"/>
  </ds:schemaRefs>
</ds:datastoreItem>
</file>

<file path=customXml/itemProps2.xml><?xml version="1.0" encoding="utf-8"?>
<ds:datastoreItem xmlns:ds="http://schemas.openxmlformats.org/officeDocument/2006/customXml" ds:itemID="{7377AD56-BC42-413B-9F47-B043E2C378DD}">
  <ds:schemaRefs>
    <ds:schemaRef ds:uri="http://schemas.microsoft.com/office/2006/metadata/properties"/>
    <ds:schemaRef ds:uri="http://www.w3.org/2000/xmlns/"/>
    <ds:schemaRef ds:uri="db0ba53e-1dc5-4ed7-8881-11f125da468b"/>
    <ds:schemaRef ds:uri="http://schemas.microsoft.com/office/infopath/2007/PartnerControls"/>
    <ds:schemaRef ds:uri="4d07b3ec-8c3b-4de2-8537-6a594c5b2a50"/>
    <ds:schemaRef ds:uri="http://www.w3.org/2001/XMLSchema-instance"/>
  </ds:schemaRefs>
</ds:datastoreItem>
</file>

<file path=customXml/itemProps3.xml><?xml version="1.0" encoding="utf-8"?>
<ds:datastoreItem xmlns:ds="http://schemas.openxmlformats.org/officeDocument/2006/customXml" ds:itemID="{F03569BA-7882-4E5F-A467-F0641BBC63D0}">
  <ds:schemaRefs>
    <ds:schemaRef ds:uri="http://schemas.microsoft.com/office/2006/metadata/contentType"/>
    <ds:schemaRef ds:uri="http://schemas.microsoft.com/office/2006/metadata/properties/metaAttributes"/>
    <ds:schemaRef ds:uri="http://www.w3.org/2000/xmlns/"/>
    <ds:schemaRef ds:uri="http://www.w3.org/2001/XMLSchema"/>
    <ds:schemaRef ds:uri="db0ba53e-1dc5-4ed7-8881-11f125da468b"/>
    <ds:schemaRef ds:uri="4d07b3ec-8c3b-4de2-8537-6a594c5b2a50"/>
    <ds:schemaRef ds:uri="http://schemas.microsoft.com/office/2006/metadata/properties"/>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vt:lpstr>
      <vt:lpstr>Dashboard</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Chunchun Jaya</cp:lastModifiedBy>
  <dcterms:created xsi:type="dcterms:W3CDTF">2026-04-22T10:05:09Z</dcterms:created>
  <dcterms:modified xsi:type="dcterms:W3CDTF">2026-05-19T02:49:51Z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0x010100C3A24CEB0E906C4F895CA8E1DA6E79B7</vt:lpwstr>
  </property>
</Properties>
</file>